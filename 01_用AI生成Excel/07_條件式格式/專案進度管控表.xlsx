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進度" sheetId="1" state="visible" r:id="rId1"/>
    <sheet name="設定" sheetId="2" state="visible" r:id="rId2"/>
  </sheets>
  <definedNames>
    <definedName name="基準日">'設定'!$B$1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Microsoft JhengHei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  <xf numFmtId="3" fontId="2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Project" displayName="T_Project" ref="A1:J13" headerRowCount="1">
  <autoFilter ref="A1:J13"/>
  <tableColumns count="10">
    <tableColumn id="1" name="任務編號"/>
    <tableColumn id="2" name="任務名稱"/>
    <tableColumn id="3" name="負責人"/>
    <tableColumn id="4" name="截止日"/>
    <tableColumn id="5" name="狀態"/>
    <tableColumn id="6" name="完成進度"/>
    <tableColumn id="7" name="預算"/>
    <tableColumn id="8" name="實際支出"/>
    <tableColumn id="9" name="剩餘預算">
      <calculatedColumnFormula>T_Project[[#This Row],[預算]]-T_Project[[#This Row],[實際支出]]</calculatedColumnFormula>
    </tableColumn>
    <tableColumn id="10" name="預算使用率">
      <calculatedColumnFormula>IF(T_Project[[#This Row],[預算]]=0,0,T_Project[[#This Row],[實際支出]]/T_Project[[#This Row],[預算]])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12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任務編號</t>
        </is>
      </c>
      <c r="B1" s="1" t="inlineStr">
        <is>
          <t>任務名稱</t>
        </is>
      </c>
      <c r="C1" s="1" t="inlineStr">
        <is>
          <t>負責人</t>
        </is>
      </c>
      <c r="D1" s="1" t="inlineStr">
        <is>
          <t>截止日</t>
        </is>
      </c>
      <c r="E1" s="1" t="inlineStr">
        <is>
          <t>狀態</t>
        </is>
      </c>
      <c r="F1" s="1" t="inlineStr">
        <is>
          <t>完成進度</t>
        </is>
      </c>
      <c r="G1" s="1" t="inlineStr">
        <is>
          <t>預算</t>
        </is>
      </c>
      <c r="H1" s="1" t="inlineStr">
        <is>
          <t>實際支出</t>
        </is>
      </c>
      <c r="I1" s="1" t="inlineStr">
        <is>
          <t>剩餘預算</t>
        </is>
      </c>
      <c r="J1" s="1" t="inlineStr">
        <is>
          <t>預算使用率</t>
        </is>
      </c>
    </row>
    <row r="2">
      <c r="A2" s="2" t="inlineStr">
        <is>
          <t>T-01</t>
        </is>
      </c>
      <c r="B2" s="2" t="inlineStr">
        <is>
          <t>需求訪談</t>
        </is>
      </c>
      <c r="C2" s="2" t="inlineStr">
        <is>
          <t>王思婷</t>
        </is>
      </c>
      <c r="D2" s="3" t="n">
        <v>46081</v>
      </c>
      <c r="E2" s="2" t="inlineStr">
        <is>
          <t>已完成</t>
        </is>
      </c>
      <c r="F2" s="4" t="n">
        <v>1</v>
      </c>
      <c r="G2" s="5" t="n">
        <v>30000</v>
      </c>
      <c r="H2" s="5" t="n">
        <v>28000</v>
      </c>
      <c r="I2" s="5">
        <f>T_Project[[#This Row],[預算]]-T_Project[[#This Row],[實際支出]]</f>
        <v/>
      </c>
      <c r="J2" s="4">
        <f>IF(T_Project[[#This Row],[預算]]=0,0,T_Project[[#This Row],[實際支出]]/T_Project[[#This Row],[預算]])</f>
        <v/>
      </c>
    </row>
    <row r="3">
      <c r="A3" s="2" t="inlineStr">
        <is>
          <t>T-02</t>
        </is>
      </c>
      <c r="B3" s="2" t="inlineStr">
        <is>
          <t>系統架構設計</t>
        </is>
      </c>
      <c r="C3" s="2" t="inlineStr">
        <is>
          <t>林志遠</t>
        </is>
      </c>
      <c r="D3" s="3" t="n">
        <v>46096</v>
      </c>
      <c r="E3" s="2" t="inlineStr">
        <is>
          <t>已完成</t>
        </is>
      </c>
      <c r="F3" s="4" t="n">
        <v>1</v>
      </c>
      <c r="G3" s="5" t="n">
        <v>80000</v>
      </c>
      <c r="H3" s="5" t="n">
        <v>86000</v>
      </c>
      <c r="I3" s="5">
        <f>T_Project[[#This Row],[預算]]-T_Project[[#This Row],[實際支出]]</f>
        <v/>
      </c>
      <c r="J3" s="4">
        <f>IF(T_Project[[#This Row],[預算]]=0,0,T_Project[[#This Row],[實際支出]]/T_Project[[#This Row],[預算]])</f>
        <v/>
      </c>
    </row>
    <row r="4">
      <c r="A4" s="2" t="inlineStr">
        <is>
          <t>T-03</t>
        </is>
      </c>
      <c r="B4" s="2" t="inlineStr">
        <is>
          <t>UI 設計稿</t>
        </is>
      </c>
      <c r="C4" s="2" t="inlineStr">
        <is>
          <t>張雅晴</t>
        </is>
      </c>
      <c r="D4" s="3" t="n">
        <v>46112</v>
      </c>
      <c r="E4" s="2" t="inlineStr">
        <is>
          <t>進行中</t>
        </is>
      </c>
      <c r="F4" s="4" t="n">
        <v>0.9</v>
      </c>
      <c r="G4" s="5" t="n">
        <v>60000</v>
      </c>
      <c r="H4" s="5" t="n">
        <v>45000</v>
      </c>
      <c r="I4" s="5">
        <f>T_Project[[#This Row],[預算]]-T_Project[[#This Row],[實際支出]]</f>
        <v/>
      </c>
      <c r="J4" s="4">
        <f>IF(T_Project[[#This Row],[預算]]=0,0,T_Project[[#This Row],[實際支出]]/T_Project[[#This Row],[預算]])</f>
        <v/>
      </c>
    </row>
    <row r="5">
      <c r="A5" s="2" t="inlineStr">
        <is>
          <t>T-04</t>
        </is>
      </c>
      <c r="B5" s="2" t="inlineStr">
        <is>
          <t>前端開發</t>
        </is>
      </c>
      <c r="C5" s="2" t="inlineStr">
        <is>
          <t>陳建宏</t>
        </is>
      </c>
      <c r="D5" s="3" t="n">
        <v>46157</v>
      </c>
      <c r="E5" s="2" t="inlineStr">
        <is>
          <t>進行中</t>
        </is>
      </c>
      <c r="F5" s="4" t="n">
        <v>0.6</v>
      </c>
      <c r="G5" s="5" t="n">
        <v>150000</v>
      </c>
      <c r="H5" s="5" t="n">
        <v>120000</v>
      </c>
      <c r="I5" s="5">
        <f>T_Project[[#This Row],[預算]]-T_Project[[#This Row],[實際支出]]</f>
        <v/>
      </c>
      <c r="J5" s="4">
        <f>IF(T_Project[[#This Row],[預算]]=0,0,T_Project[[#This Row],[實際支出]]/T_Project[[#This Row],[預算]])</f>
        <v/>
      </c>
    </row>
    <row r="6">
      <c r="A6" s="2" t="inlineStr">
        <is>
          <t>T-05</t>
        </is>
      </c>
      <c r="B6" s="2" t="inlineStr">
        <is>
          <t>後端 API 開發</t>
        </is>
      </c>
      <c r="C6" s="2" t="inlineStr">
        <is>
          <t>林志遠</t>
        </is>
      </c>
      <c r="D6" s="3" t="n">
        <v>46173</v>
      </c>
      <c r="E6" s="2" t="inlineStr">
        <is>
          <t>進行中</t>
        </is>
      </c>
      <c r="F6" s="4" t="n">
        <v>0.7</v>
      </c>
      <c r="G6" s="5" t="n">
        <v>180000</v>
      </c>
      <c r="H6" s="5" t="n">
        <v>192000</v>
      </c>
      <c r="I6" s="5">
        <f>T_Project[[#This Row],[預算]]-T_Project[[#This Row],[實際支出]]</f>
        <v/>
      </c>
      <c r="J6" s="4">
        <f>IF(T_Project[[#This Row],[預算]]=0,0,T_Project[[#This Row],[實際支出]]/T_Project[[#This Row],[預算]])</f>
        <v/>
      </c>
    </row>
    <row r="7">
      <c r="A7" s="2" t="inlineStr">
        <is>
          <t>T-06</t>
        </is>
      </c>
      <c r="B7" s="2" t="inlineStr">
        <is>
          <t>資料庫建置</t>
        </is>
      </c>
      <c r="C7" s="2" t="inlineStr">
        <is>
          <t>陳建宏</t>
        </is>
      </c>
      <c r="D7" s="3" t="n">
        <v>46122</v>
      </c>
      <c r="E7" s="2" t="inlineStr">
        <is>
          <t>進行中</t>
        </is>
      </c>
      <c r="F7" s="4" t="n">
        <v>0.8</v>
      </c>
      <c r="G7" s="5" t="n">
        <v>70000</v>
      </c>
      <c r="H7" s="5" t="n">
        <v>52000</v>
      </c>
      <c r="I7" s="5">
        <f>T_Project[[#This Row],[預算]]-T_Project[[#This Row],[實際支出]]</f>
        <v/>
      </c>
      <c r="J7" s="4">
        <f>IF(T_Project[[#This Row],[預算]]=0,0,T_Project[[#This Row],[實際支出]]/T_Project[[#This Row],[預算]])</f>
        <v/>
      </c>
    </row>
    <row r="8">
      <c r="A8" s="2" t="inlineStr">
        <is>
          <t>T-07</t>
        </is>
      </c>
      <c r="B8" s="2" t="inlineStr">
        <is>
          <t>測試計畫</t>
        </is>
      </c>
      <c r="C8" s="2" t="inlineStr">
        <is>
          <t>劉美琪</t>
        </is>
      </c>
      <c r="D8" s="3" t="n">
        <v>46142</v>
      </c>
      <c r="E8" s="2" t="inlineStr">
        <is>
          <t>進行中</t>
        </is>
      </c>
      <c r="F8" s="4" t="n">
        <v>0.3</v>
      </c>
      <c r="G8" s="5" t="n">
        <v>25000</v>
      </c>
      <c r="H8" s="5" t="n">
        <v>8000</v>
      </c>
      <c r="I8" s="5">
        <f>T_Project[[#This Row],[預算]]-T_Project[[#This Row],[實際支出]]</f>
        <v/>
      </c>
      <c r="J8" s="4">
        <f>IF(T_Project[[#This Row],[預算]]=0,0,T_Project[[#This Row],[實際支出]]/T_Project[[#This Row],[預算]])</f>
        <v/>
      </c>
    </row>
    <row r="9">
      <c r="A9" s="2" t="inlineStr">
        <is>
          <t>T-08</t>
        </is>
      </c>
      <c r="B9" s="2" t="inlineStr">
        <is>
          <t>使用者測試</t>
        </is>
      </c>
      <c r="C9" s="2" t="inlineStr">
        <is>
          <t>王思婷</t>
        </is>
      </c>
      <c r="D9" s="3" t="n">
        <v>46188</v>
      </c>
      <c r="E9" s="2" t="inlineStr">
        <is>
          <t>未開始</t>
        </is>
      </c>
      <c r="F9" s="4" t="n">
        <v>0</v>
      </c>
      <c r="G9" s="5" t="n">
        <v>40000</v>
      </c>
      <c r="H9" s="5" t="n">
        <v>0</v>
      </c>
      <c r="I9" s="5">
        <f>T_Project[[#This Row],[預算]]-T_Project[[#This Row],[實際支出]]</f>
        <v/>
      </c>
      <c r="J9" s="4">
        <f>IF(T_Project[[#This Row],[預算]]=0,0,T_Project[[#This Row],[實際支出]]/T_Project[[#This Row],[預算]])</f>
        <v/>
      </c>
    </row>
    <row r="10">
      <c r="A10" s="2" t="inlineStr">
        <is>
          <t>T-09</t>
        </is>
      </c>
      <c r="B10" s="2" t="inlineStr">
        <is>
          <t>教育訓練教材</t>
        </is>
      </c>
      <c r="C10" s="2" t="inlineStr">
        <is>
          <t>劉美琪</t>
        </is>
      </c>
      <c r="D10" s="3" t="n">
        <v>46183</v>
      </c>
      <c r="E10" s="2" t="inlineStr">
        <is>
          <t>進行中</t>
        </is>
      </c>
      <c r="F10" s="4" t="n">
        <v>0.2</v>
      </c>
      <c r="G10" s="5" t="n">
        <v>35000</v>
      </c>
      <c r="H10" s="5" t="n">
        <v>12000</v>
      </c>
      <c r="I10" s="5">
        <f>T_Project[[#This Row],[預算]]-T_Project[[#This Row],[實際支出]]</f>
        <v/>
      </c>
      <c r="J10" s="4">
        <f>IF(T_Project[[#This Row],[預算]]=0,0,T_Project[[#This Row],[實際支出]]/T_Project[[#This Row],[預算]])</f>
        <v/>
      </c>
    </row>
    <row r="11">
      <c r="A11" s="2" t="inlineStr">
        <is>
          <t>T-10</t>
        </is>
      </c>
      <c r="B11" s="2" t="inlineStr">
        <is>
          <t>上線部署</t>
        </is>
      </c>
      <c r="C11" s="2" t="inlineStr">
        <is>
          <t>陳建宏</t>
        </is>
      </c>
      <c r="D11" s="3" t="n">
        <v>46203</v>
      </c>
      <c r="E11" s="2" t="inlineStr">
        <is>
          <t>未開始</t>
        </is>
      </c>
      <c r="F11" s="4" t="n">
        <v>0</v>
      </c>
      <c r="G11" s="5" t="n">
        <v>50000</v>
      </c>
      <c r="H11" s="5" t="n">
        <v>0</v>
      </c>
      <c r="I11" s="5">
        <f>T_Project[[#This Row],[預算]]-T_Project[[#This Row],[實際支出]]</f>
        <v/>
      </c>
      <c r="J11" s="4">
        <f>IF(T_Project[[#This Row],[預算]]=0,0,T_Project[[#This Row],[實際支出]]/T_Project[[#This Row],[預算]])</f>
        <v/>
      </c>
    </row>
    <row r="12">
      <c r="A12" s="2" t="inlineStr">
        <is>
          <t>T-11</t>
        </is>
      </c>
      <c r="B12" s="2" t="inlineStr">
        <is>
          <t>行銷素材</t>
        </is>
      </c>
      <c r="C12" s="2" t="inlineStr">
        <is>
          <t>張雅晴</t>
        </is>
      </c>
      <c r="D12" s="3" t="n">
        <v>46117</v>
      </c>
      <c r="E12" s="2" t="inlineStr">
        <is>
          <t>已完成</t>
        </is>
      </c>
      <c r="F12" s="4" t="n">
        <v>1</v>
      </c>
      <c r="G12" s="5" t="n">
        <v>45000</v>
      </c>
      <c r="H12" s="5" t="n">
        <v>47500</v>
      </c>
      <c r="I12" s="5">
        <f>T_Project[[#This Row],[預算]]-T_Project[[#This Row],[實際支出]]</f>
        <v/>
      </c>
      <c r="J12" s="4">
        <f>IF(T_Project[[#This Row],[預算]]=0,0,T_Project[[#This Row],[實際支出]]/T_Project[[#This Row],[預算]])</f>
        <v/>
      </c>
    </row>
    <row r="13">
      <c r="A13" s="2" t="inlineStr">
        <is>
          <t>T-12</t>
        </is>
      </c>
      <c r="B13" s="2" t="inlineStr">
        <is>
          <t>驗收報告</t>
        </is>
      </c>
      <c r="C13" s="2" t="inlineStr">
        <is>
          <t>黃俊傑</t>
        </is>
      </c>
      <c r="D13" s="3" t="n">
        <v>46218</v>
      </c>
      <c r="E13" s="2" t="inlineStr">
        <is>
          <t>未開始</t>
        </is>
      </c>
      <c r="F13" s="4" t="n">
        <v>0</v>
      </c>
      <c r="G13" s="5" t="n">
        <v>20000</v>
      </c>
      <c r="H13" s="5" t="n">
        <v>0</v>
      </c>
      <c r="I13" s="5">
        <f>T_Project[[#This Row],[預算]]-T_Project[[#This Row],[實際支出]]</f>
        <v/>
      </c>
      <c r="J13" s="4">
        <f>IF(T_Project[[#This Row],[預算]]=0,0,T_Project[[#This Row],[實際支出]]/T_Project[[#This Row],[預算]])</f>
        <v/>
      </c>
    </row>
  </sheetData>
  <conditionalFormatting sqref="I2:I200">
    <cfRule type="cellIs" priority="1" operator="lessThan" dxfId="0">
      <formula>0</formula>
    </cfRule>
  </conditionalFormatting>
  <conditionalFormatting sqref="A2:J200">
    <cfRule type="expression" priority="2" dxfId="1">
      <formula>AND($D2&lt;&gt;"",$D2&lt;基準日,$E2&lt;&gt;"已完成")</formula>
    </cfRule>
  </conditionalFormatting>
  <conditionalFormatting sqref="E2:E200">
    <cfRule type="expression" priority="3" dxfId="2">
      <formula>$E2="已完成"</formula>
    </cfRule>
  </conditionalFormatting>
  <conditionalFormatting sqref="F2:F200">
    <cfRule type="dataBar" priority="4">
      <dataBar>
        <cfvo type="num" val="0"/>
        <cfvo type="num" val="1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6" t="inlineStr">
        <is>
          <t>基準日</t>
        </is>
      </c>
      <c r="B1" s="7" t="n">
        <v>46127</v>
      </c>
    </row>
    <row r="3">
      <c r="A3" s="8" t="inlineStr">
        <is>
          <t>判斷「逾期」用的日期。教材固定為 2026-04-15，實務上可改成 =TODAY()。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2026-10-24T08:28:10Z</dcterms:created>
  <dcterms:modified xsi:type="dcterms:W3CDTF">2026-10-24T08:28:10Z</dcterms:modified>
</cp:coreProperties>
</file>