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訊息" sheetId="1" state="visible" r:id="rId1"/>
    <sheet name="清洗後" sheetId="2" state="visible" r:id="rId2"/>
    <sheet name="清洗規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Purchase" displayName="T_Purchase" ref="A1:I11" headerRowCount="1">
  <autoFilter ref="A1:I11"/>
  <tableColumns count="9">
    <tableColumn id="1" name="原始編號"/>
    <tableColumn id="2" name="申請日期"/>
    <tableColumn id="3" name="部門"/>
    <tableColumn id="4" name="申請人"/>
    <tableColumn id="5" name="品項"/>
    <tableColumn id="6" name="數量"/>
    <tableColumn id="7" name="單位"/>
    <tableColumn id="8" name="單價"/>
    <tableColumn id="9" name="小計">
      <calculatedColumnFormula>T_Purchase[[#This Row],[數量]]*T_Purchase[[#This Row],[單價]]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原始編號</t>
        </is>
      </c>
      <c r="B1" s="1" t="inlineStr">
        <is>
          <t>原始訊息（LINE 群組複製）</t>
        </is>
      </c>
    </row>
    <row r="2">
      <c r="A2" s="2" t="n">
        <v>1</v>
      </c>
      <c r="B2" s="2" t="inlineStr">
        <is>
          <t>【研發部 林志遠】115/3/2 想買 27吋螢幕 2台，一台大約 NT$6,500</t>
        </is>
      </c>
    </row>
    <row r="3">
      <c r="A3" s="2" t="n">
        <v>2</v>
      </c>
      <c r="B3" s="2" t="inlineStr">
        <is>
          <t>行銷部張雅晴：3/3 需要 A4影印紙 10包 每包135元</t>
        </is>
      </c>
    </row>
    <row r="4">
      <c r="A4" s="2" t="n">
        <v>3</v>
      </c>
      <c r="B4" s="2" t="inlineStr">
        <is>
          <t>維運部-陳建宏 2026.03.05 網路線(5米) x6條 @450</t>
        </is>
      </c>
    </row>
    <row r="5">
      <c r="A5" s="2" t="n">
        <v>4</v>
      </c>
      <c r="B5" s="2" t="inlineStr">
        <is>
          <t>【管理部 劉美琪】115年3月8日 白板筆 4盒，每盒 160 元</t>
        </is>
      </c>
    </row>
    <row r="6">
      <c r="A6" s="2" t="n">
        <v>5</v>
      </c>
      <c r="B6" s="2" t="inlineStr">
        <is>
          <t>研發部 王思婷 2026/3/10 機械鍵盤 1 個 2,490</t>
        </is>
      </c>
    </row>
    <row r="7">
      <c r="A7" s="2" t="n">
        <v>6</v>
      </c>
      <c r="B7" s="2" t="inlineStr">
        <is>
          <t>業務部黃俊傑 3月12日 名片印製 3盒 單價$350</t>
        </is>
      </c>
    </row>
    <row r="8">
      <c r="A8" s="2" t="n">
        <v>7</v>
      </c>
      <c r="B8" s="2" t="inlineStr">
        <is>
          <t>【行銷部 張雅晴】115.03.15 展示架 2座 一座1,800元</t>
        </is>
      </c>
    </row>
    <row r="9">
      <c r="A9" s="2" t="n">
        <v>8</v>
      </c>
      <c r="B9" s="2" t="inlineStr">
        <is>
          <t>維運部 陳建宏：2026-03-18 UPS不斷電系統 1台 NT$4,200</t>
        </is>
      </c>
    </row>
    <row r="10">
      <c r="A10" s="2" t="n">
        <v>9</v>
      </c>
      <c r="B10" s="2" t="inlineStr">
        <is>
          <t>管理部-劉美琪 115/3/20 碳粉匣 3支，每支 1,150</t>
        </is>
      </c>
    </row>
    <row r="11">
      <c r="A11" s="2" t="n">
        <v>10</v>
      </c>
      <c r="B11" s="2" t="inlineStr">
        <is>
          <t>【業務部 黃俊傑】3/25 筆電支架 5 個 @1,290元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18" customWidth="1" min="5" max="5"/>
    <col width="7" customWidth="1" min="6" max="6"/>
    <col width="7" customWidth="1" min="7" max="7"/>
    <col width="9" customWidth="1" min="8" max="8"/>
    <col width="10" customWidth="1" min="9" max="9"/>
  </cols>
  <sheetData>
    <row r="1">
      <c r="A1" s="1" t="inlineStr">
        <is>
          <t>原始編號</t>
        </is>
      </c>
      <c r="B1" s="1" t="inlineStr">
        <is>
          <t>申請日期</t>
        </is>
      </c>
      <c r="C1" s="1" t="inlineStr">
        <is>
          <t>部門</t>
        </is>
      </c>
      <c r="D1" s="1" t="inlineStr">
        <is>
          <t>申請人</t>
        </is>
      </c>
      <c r="E1" s="1" t="inlineStr">
        <is>
          <t>品項</t>
        </is>
      </c>
      <c r="F1" s="1" t="inlineStr">
        <is>
          <t>數量</t>
        </is>
      </c>
      <c r="G1" s="1" t="inlineStr">
        <is>
          <t>單位</t>
        </is>
      </c>
      <c r="H1" s="1" t="inlineStr">
        <is>
          <t>單價</t>
        </is>
      </c>
      <c r="I1" s="1" t="inlineStr">
        <is>
          <t>小計</t>
        </is>
      </c>
    </row>
    <row r="2">
      <c r="A2" s="2" t="n">
        <v>1</v>
      </c>
      <c r="B2" s="3" t="n">
        <v>46083</v>
      </c>
      <c r="C2" s="2" t="inlineStr">
        <is>
          <t>研發部</t>
        </is>
      </c>
      <c r="D2" s="2" t="inlineStr">
        <is>
          <t>林志遠</t>
        </is>
      </c>
      <c r="E2" s="2" t="inlineStr">
        <is>
          <t>27 吋螢幕</t>
        </is>
      </c>
      <c r="F2" s="4" t="n">
        <v>2</v>
      </c>
      <c r="G2" s="2" t="inlineStr">
        <is>
          <t>台</t>
        </is>
      </c>
      <c r="H2" s="4" t="n">
        <v>6500</v>
      </c>
      <c r="I2" s="4">
        <f>T_Purchase[[#This Row],[數量]]*T_Purchase[[#This Row],[單價]]</f>
        <v/>
      </c>
    </row>
    <row r="3">
      <c r="A3" s="2" t="n">
        <v>2</v>
      </c>
      <c r="B3" s="3" t="n">
        <v>46084</v>
      </c>
      <c r="C3" s="2" t="inlineStr">
        <is>
          <t>行銷部</t>
        </is>
      </c>
      <c r="D3" s="2" t="inlineStr">
        <is>
          <t>張雅晴</t>
        </is>
      </c>
      <c r="E3" s="2" t="inlineStr">
        <is>
          <t>A4 影印紙</t>
        </is>
      </c>
      <c r="F3" s="4" t="n">
        <v>10</v>
      </c>
      <c r="G3" s="2" t="inlineStr">
        <is>
          <t>包</t>
        </is>
      </c>
      <c r="H3" s="4" t="n">
        <v>135</v>
      </c>
      <c r="I3" s="4">
        <f>T_Purchase[[#This Row],[數量]]*T_Purchase[[#This Row],[單價]]</f>
        <v/>
      </c>
    </row>
    <row r="4">
      <c r="A4" s="2" t="n">
        <v>3</v>
      </c>
      <c r="B4" s="3" t="n">
        <v>46086</v>
      </c>
      <c r="C4" s="2" t="inlineStr">
        <is>
          <t>維運部</t>
        </is>
      </c>
      <c r="D4" s="2" t="inlineStr">
        <is>
          <t>陳建宏</t>
        </is>
      </c>
      <c r="E4" s="2" t="inlineStr">
        <is>
          <t>網路線（5 米）</t>
        </is>
      </c>
      <c r="F4" s="4" t="n">
        <v>6</v>
      </c>
      <c r="G4" s="2" t="inlineStr">
        <is>
          <t>條</t>
        </is>
      </c>
      <c r="H4" s="4" t="n">
        <v>450</v>
      </c>
      <c r="I4" s="4">
        <f>T_Purchase[[#This Row],[數量]]*T_Purchase[[#This Row],[單價]]</f>
        <v/>
      </c>
    </row>
    <row r="5">
      <c r="A5" s="2" t="n">
        <v>4</v>
      </c>
      <c r="B5" s="3" t="n">
        <v>46089</v>
      </c>
      <c r="C5" s="2" t="inlineStr">
        <is>
          <t>管理部</t>
        </is>
      </c>
      <c r="D5" s="2" t="inlineStr">
        <is>
          <t>劉美琪</t>
        </is>
      </c>
      <c r="E5" s="2" t="inlineStr">
        <is>
          <t>白板筆</t>
        </is>
      </c>
      <c r="F5" s="4" t="n">
        <v>4</v>
      </c>
      <c r="G5" s="2" t="inlineStr">
        <is>
          <t>盒</t>
        </is>
      </c>
      <c r="H5" s="4" t="n">
        <v>160</v>
      </c>
      <c r="I5" s="4">
        <f>T_Purchase[[#This Row],[數量]]*T_Purchase[[#This Row],[單價]]</f>
        <v/>
      </c>
    </row>
    <row r="6">
      <c r="A6" s="2" t="n">
        <v>5</v>
      </c>
      <c r="B6" s="3" t="n">
        <v>46091</v>
      </c>
      <c r="C6" s="2" t="inlineStr">
        <is>
          <t>研發部</t>
        </is>
      </c>
      <c r="D6" s="2" t="inlineStr">
        <is>
          <t>王思婷</t>
        </is>
      </c>
      <c r="E6" s="2" t="inlineStr">
        <is>
          <t>機械鍵盤</t>
        </is>
      </c>
      <c r="F6" s="4" t="n">
        <v>1</v>
      </c>
      <c r="G6" s="2" t="inlineStr">
        <is>
          <t>個</t>
        </is>
      </c>
      <c r="H6" s="4" t="n">
        <v>2490</v>
      </c>
      <c r="I6" s="4">
        <f>T_Purchase[[#This Row],[數量]]*T_Purchase[[#This Row],[單價]]</f>
        <v/>
      </c>
    </row>
    <row r="7">
      <c r="A7" s="2" t="n">
        <v>6</v>
      </c>
      <c r="B7" s="3" t="n">
        <v>46093</v>
      </c>
      <c r="C7" s="2" t="inlineStr">
        <is>
          <t>業務部</t>
        </is>
      </c>
      <c r="D7" s="2" t="inlineStr">
        <is>
          <t>黃俊傑</t>
        </is>
      </c>
      <c r="E7" s="2" t="inlineStr">
        <is>
          <t>名片印製</t>
        </is>
      </c>
      <c r="F7" s="4" t="n">
        <v>3</v>
      </c>
      <c r="G7" s="2" t="inlineStr">
        <is>
          <t>盒</t>
        </is>
      </c>
      <c r="H7" s="4" t="n">
        <v>350</v>
      </c>
      <c r="I7" s="4">
        <f>T_Purchase[[#This Row],[數量]]*T_Purchase[[#This Row],[單價]]</f>
        <v/>
      </c>
    </row>
    <row r="8">
      <c r="A8" s="2" t="n">
        <v>7</v>
      </c>
      <c r="B8" s="3" t="n">
        <v>46096</v>
      </c>
      <c r="C8" s="2" t="inlineStr">
        <is>
          <t>行銷部</t>
        </is>
      </c>
      <c r="D8" s="2" t="inlineStr">
        <is>
          <t>張雅晴</t>
        </is>
      </c>
      <c r="E8" s="2" t="inlineStr">
        <is>
          <t>展示架</t>
        </is>
      </c>
      <c r="F8" s="4" t="n">
        <v>2</v>
      </c>
      <c r="G8" s="2" t="inlineStr">
        <is>
          <t>座</t>
        </is>
      </c>
      <c r="H8" s="4" t="n">
        <v>1800</v>
      </c>
      <c r="I8" s="4">
        <f>T_Purchase[[#This Row],[數量]]*T_Purchase[[#This Row],[單價]]</f>
        <v/>
      </c>
    </row>
    <row r="9">
      <c r="A9" s="2" t="n">
        <v>8</v>
      </c>
      <c r="B9" s="3" t="n">
        <v>46099</v>
      </c>
      <c r="C9" s="2" t="inlineStr">
        <is>
          <t>維運部</t>
        </is>
      </c>
      <c r="D9" s="2" t="inlineStr">
        <is>
          <t>陳建宏</t>
        </is>
      </c>
      <c r="E9" s="2" t="inlineStr">
        <is>
          <t>UPS 不斷電系統</t>
        </is>
      </c>
      <c r="F9" s="4" t="n">
        <v>1</v>
      </c>
      <c r="G9" s="2" t="inlineStr">
        <is>
          <t>台</t>
        </is>
      </c>
      <c r="H9" s="4" t="n">
        <v>4200</v>
      </c>
      <c r="I9" s="4">
        <f>T_Purchase[[#This Row],[數量]]*T_Purchase[[#This Row],[單價]]</f>
        <v/>
      </c>
    </row>
    <row r="10">
      <c r="A10" s="2" t="n">
        <v>9</v>
      </c>
      <c r="B10" s="3" t="n">
        <v>46101</v>
      </c>
      <c r="C10" s="2" t="inlineStr">
        <is>
          <t>管理部</t>
        </is>
      </c>
      <c r="D10" s="2" t="inlineStr">
        <is>
          <t>劉美琪</t>
        </is>
      </c>
      <c r="E10" s="2" t="inlineStr">
        <is>
          <t>碳粉匣</t>
        </is>
      </c>
      <c r="F10" s="4" t="n">
        <v>3</v>
      </c>
      <c r="G10" s="2" t="inlineStr">
        <is>
          <t>支</t>
        </is>
      </c>
      <c r="H10" s="4" t="n">
        <v>1150</v>
      </c>
      <c r="I10" s="4">
        <f>T_Purchase[[#This Row],[數量]]*T_Purchase[[#This Row],[單價]]</f>
        <v/>
      </c>
    </row>
    <row r="11">
      <c r="A11" s="2" t="n">
        <v>10</v>
      </c>
      <c r="B11" s="3" t="n">
        <v>46106</v>
      </c>
      <c r="C11" s="2" t="inlineStr">
        <is>
          <t>業務部</t>
        </is>
      </c>
      <c r="D11" s="2" t="inlineStr">
        <is>
          <t>黃俊傑</t>
        </is>
      </c>
      <c r="E11" s="2" t="inlineStr">
        <is>
          <t>筆電支架</t>
        </is>
      </c>
      <c r="F11" s="4" t="n">
        <v>5</v>
      </c>
      <c r="G11" s="2" t="inlineStr">
        <is>
          <t>個</t>
        </is>
      </c>
      <c r="H11" s="4" t="n">
        <v>1290</v>
      </c>
      <c r="I11" s="4">
        <f>T_Purchase[[#This Row],[數量]]*T_Purchase[[#This Row],[單價]]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</cols>
  <sheetData>
    <row r="1">
      <c r="A1" s="1" t="inlineStr">
        <is>
          <t>欄位</t>
        </is>
      </c>
      <c r="B1" s="1" t="inlineStr">
        <is>
          <t>原始樣貌</t>
        </is>
      </c>
      <c r="C1" s="1" t="inlineStr">
        <is>
          <t>清洗規則</t>
        </is>
      </c>
    </row>
    <row r="2">
      <c r="A2" s="2" t="inlineStr">
        <is>
          <t>申請日期</t>
        </is>
      </c>
      <c r="B2" s="5" t="inlineStr">
        <is>
          <t>115/3/2、2026.03.05、115年3月8日、3/3</t>
        </is>
      </c>
      <c r="C2" s="5" t="inlineStr">
        <is>
          <t>民國年 + 1911 轉西元；沒寫年份的視為 2026 年；統一存成日期 yyyy-mm-dd</t>
        </is>
      </c>
    </row>
    <row r="3">
      <c r="A3" s="2" t="inlineStr">
        <is>
          <t>部門、申請人</t>
        </is>
      </c>
      <c r="B3" s="5" t="inlineStr">
        <is>
          <t>【研發部 林志遠】、行銷部張雅晴：、維運部-陳建宏</t>
        </is>
      </c>
      <c r="C3" s="5" t="inlineStr">
        <is>
          <t>拆成兩欄；去掉【】、：、- 等符號與多餘空白</t>
        </is>
      </c>
    </row>
    <row r="4">
      <c r="A4" s="2" t="inlineStr">
        <is>
          <t>品項</t>
        </is>
      </c>
      <c r="B4" s="5" t="inlineStr">
        <is>
          <t>27吋螢幕、A4影印紙</t>
        </is>
      </c>
      <c r="C4" s="5" t="inlineStr">
        <is>
          <t>保留品名；中英文與數字之間補空格，括號統一為全形</t>
        </is>
      </c>
    </row>
    <row r="5">
      <c r="A5" s="2" t="inlineStr">
        <is>
          <t>數量、單位</t>
        </is>
      </c>
      <c r="B5" s="5" t="inlineStr">
        <is>
          <t>2台、x6條、1 個</t>
        </is>
      </c>
      <c r="C5" s="5" t="inlineStr">
        <is>
          <t>數字放「數量」（數值），單位放「單位」（文字），一格一事</t>
        </is>
      </c>
    </row>
    <row r="6">
      <c r="A6" s="2" t="inlineStr">
        <is>
          <t>單價</t>
        </is>
      </c>
      <c r="B6" s="5" t="inlineStr">
        <is>
          <t>NT$6,500、135元、@450、$350</t>
        </is>
      </c>
      <c r="C6" s="5" t="inlineStr">
        <is>
          <t>去掉 NT$、$、元、@、逗號，存成數值，顯示格式 #,##0</t>
        </is>
      </c>
    </row>
    <row r="7">
      <c r="A7" s="2" t="inlineStr">
        <is>
          <t>小計</t>
        </is>
      </c>
      <c r="B7" s="5" t="inlineStr">
        <is>
          <t>原始訊息沒有</t>
        </is>
      </c>
      <c r="C7" s="5" t="inlineStr">
        <is>
          <t>清洗後用公式 =數量×單價 計算，不由 AI 自己算好填入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2026-10-24T08:28:10Z</dcterms:created>
  <dcterms:modified xsi:type="dcterms:W3CDTF">2026-10-24T08:28:10Z</dcterms:modified>
</cp:coreProperties>
</file>