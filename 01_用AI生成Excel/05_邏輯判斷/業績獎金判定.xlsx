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業績" sheetId="1" state="visible" r:id="rId1"/>
    <sheet name="獎金規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</font>
    <font>
      <name val="Microsoft JhengHei"/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9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Bonus" displayName="T_Bonus" ref="A1:J13" headerRowCount="1">
  <autoFilter ref="A1:J13"/>
  <tableColumns count="10">
    <tableColumn id="1" name="員工編號"/>
    <tableColumn id="2" name="姓名"/>
    <tableColumn id="3" name="部門"/>
    <tableColumn id="4" name="業績目標"/>
    <tableColumn id="5" name="實際業績"/>
    <tableColumn id="6" name="全勤"/>
    <tableColumn id="7" name="達成率">
      <calculatedColumnFormula>T_Bonus[[#This Row],[實際業績]]/T_Bonus[[#This Row],[業績目標]]</calculatedColumnFormula>
    </tableColumn>
    <tableColumn id="8" name="是否達標">
      <calculatedColumnFormula>IF(T_Bonus[[#This Row],[達成率]]&gt;='獎金規則'!$B$3,"達標","未達標")</calculatedColumnFormula>
    </tableColumn>
    <tableColumn id="9" name="獎金等級">
      <calculatedColumnFormula>_xlfn.IFS(T_Bonus[[#This Row],[達成率]]&gt;='獎金規則'!$B$2,"A",T_Bonus[[#This Row],[達成率]]&gt;='獎金規則'!$B$3,"B",T_Bonus[[#This Row],[達成率]]&gt;='獎金規則'!$B$4,"C",TRUE,"無")</calculatedColumnFormula>
    </tableColumn>
    <tableColumn id="10" name="全勤加碼">
      <calculatedColumnFormula>IF(AND(T_Bonus[[#This Row],[是否達標]]="達標",T_Bonus[[#This Row],[全勤]]="是"),"是","否")</calculatedColumnFormula>
    </tableColumn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11" customWidth="1" min="4" max="4"/>
    <col width="11" customWidth="1" min="5" max="5"/>
    <col width="7" customWidth="1" min="6" max="6"/>
    <col width="9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員工編號</t>
        </is>
      </c>
      <c r="B1" s="1" t="inlineStr">
        <is>
          <t>姓名</t>
        </is>
      </c>
      <c r="C1" s="1" t="inlineStr">
        <is>
          <t>部門</t>
        </is>
      </c>
      <c r="D1" s="1" t="inlineStr">
        <is>
          <t>業績目標</t>
        </is>
      </c>
      <c r="E1" s="1" t="inlineStr">
        <is>
          <t>實際業績</t>
        </is>
      </c>
      <c r="F1" s="1" t="inlineStr">
        <is>
          <t>全勤</t>
        </is>
      </c>
      <c r="G1" s="1" t="inlineStr">
        <is>
          <t>達成率</t>
        </is>
      </c>
      <c r="H1" s="1" t="inlineStr">
        <is>
          <t>是否達標</t>
        </is>
      </c>
      <c r="I1" s="1" t="inlineStr">
        <is>
          <t>獎金等級</t>
        </is>
      </c>
      <c r="J1" s="1" t="inlineStr">
        <is>
          <t>全勤加碼</t>
        </is>
      </c>
    </row>
    <row r="2">
      <c r="A2" s="2" t="inlineStr">
        <is>
          <t>E001</t>
        </is>
      </c>
      <c r="B2" s="2" t="inlineStr">
        <is>
          <t>陳怡君</t>
        </is>
      </c>
      <c r="C2" s="2" t="inlineStr">
        <is>
          <t>業務一部</t>
        </is>
      </c>
      <c r="D2" s="3" t="n">
        <v>500000</v>
      </c>
      <c r="E2" s="3" t="n">
        <v>612000</v>
      </c>
      <c r="F2" s="2" t="inlineStr">
        <is>
          <t>是</t>
        </is>
      </c>
      <c r="G2" s="4">
        <f>T_Bonus[[#This Row],[實際業績]]/T_Bonus[[#This Row],[業績目標]]</f>
        <v/>
      </c>
      <c r="H2" s="2">
        <f>IF(T_Bonus[[#This Row],[達成率]]&gt;='獎金規則'!$B$3,"達標","未達標")</f>
        <v/>
      </c>
      <c r="I2" s="2">
        <f>_xlfn.IFS(T_Bonus[[#This Row],[達成率]]&gt;='獎金規則'!$B$2,"A",T_Bonus[[#This Row],[達成率]]&gt;='獎金規則'!$B$3,"B",T_Bonus[[#This Row],[達成率]]&gt;='獎金規則'!$B$4,"C",TRUE,"無")</f>
        <v/>
      </c>
      <c r="J2" s="2">
        <f>IF(AND(T_Bonus[[#This Row],[是否達標]]="達標",T_Bonus[[#This Row],[全勤]]="是"),"是","否")</f>
        <v/>
      </c>
    </row>
    <row r="3">
      <c r="A3" s="2" t="inlineStr">
        <is>
          <t>E002</t>
        </is>
      </c>
      <c r="B3" s="2" t="inlineStr">
        <is>
          <t>林家豪</t>
        </is>
      </c>
      <c r="C3" s="2" t="inlineStr">
        <is>
          <t>業務一部</t>
        </is>
      </c>
      <c r="D3" s="3" t="n">
        <v>450000</v>
      </c>
      <c r="E3" s="3" t="n">
        <v>452000</v>
      </c>
      <c r="F3" s="2" t="inlineStr">
        <is>
          <t>否</t>
        </is>
      </c>
      <c r="G3" s="4">
        <f>T_Bonus[[#This Row],[實際業績]]/T_Bonus[[#This Row],[業績目標]]</f>
        <v/>
      </c>
      <c r="H3" s="2">
        <f>IF(T_Bonus[[#This Row],[達成率]]&gt;='獎金規則'!$B$3,"達標","未達標")</f>
        <v/>
      </c>
      <c r="I3" s="2">
        <f>_xlfn.IFS(T_Bonus[[#This Row],[達成率]]&gt;='獎金規則'!$B$2,"A",T_Bonus[[#This Row],[達成率]]&gt;='獎金規則'!$B$3,"B",T_Bonus[[#This Row],[達成率]]&gt;='獎金規則'!$B$4,"C",TRUE,"無")</f>
        <v/>
      </c>
      <c r="J3" s="2">
        <f>IF(AND(T_Bonus[[#This Row],[是否達標]]="達標",T_Bonus[[#This Row],[全勤]]="是"),"是","否")</f>
        <v/>
      </c>
    </row>
    <row r="4">
      <c r="A4" s="2" t="inlineStr">
        <is>
          <t>E003</t>
        </is>
      </c>
      <c r="B4" s="2" t="inlineStr">
        <is>
          <t>黃詩涵</t>
        </is>
      </c>
      <c r="C4" s="2" t="inlineStr">
        <is>
          <t>業務一部</t>
        </is>
      </c>
      <c r="D4" s="3" t="n">
        <v>480000</v>
      </c>
      <c r="E4" s="3" t="n">
        <v>384000</v>
      </c>
      <c r="F4" s="2" t="inlineStr">
        <is>
          <t>是</t>
        </is>
      </c>
      <c r="G4" s="4">
        <f>T_Bonus[[#This Row],[實際業績]]/T_Bonus[[#This Row],[業績目標]]</f>
        <v/>
      </c>
      <c r="H4" s="2">
        <f>IF(T_Bonus[[#This Row],[達成率]]&gt;='獎金規則'!$B$3,"達標","未達標")</f>
        <v/>
      </c>
      <c r="I4" s="2">
        <f>_xlfn.IFS(T_Bonus[[#This Row],[達成率]]&gt;='獎金規則'!$B$2,"A",T_Bonus[[#This Row],[達成率]]&gt;='獎金規則'!$B$3,"B",T_Bonus[[#This Row],[達成率]]&gt;='獎金規則'!$B$4,"C",TRUE,"無")</f>
        <v/>
      </c>
      <c r="J4" s="2">
        <f>IF(AND(T_Bonus[[#This Row],[是否達標]]="達標",T_Bonus[[#This Row],[全勤]]="是"),"是","否")</f>
        <v/>
      </c>
    </row>
    <row r="5">
      <c r="A5" s="2" t="inlineStr">
        <is>
          <t>E004</t>
        </is>
      </c>
      <c r="B5" s="2" t="inlineStr">
        <is>
          <t>張志明</t>
        </is>
      </c>
      <c r="C5" s="2" t="inlineStr">
        <is>
          <t>業務二部</t>
        </is>
      </c>
      <c r="D5" s="3" t="n">
        <v>520000</v>
      </c>
      <c r="E5" s="3" t="n">
        <v>624000</v>
      </c>
      <c r="F5" s="2" t="inlineStr">
        <is>
          <t>否</t>
        </is>
      </c>
      <c r="G5" s="4">
        <f>T_Bonus[[#This Row],[實際業績]]/T_Bonus[[#This Row],[業績目標]]</f>
        <v/>
      </c>
      <c r="H5" s="2">
        <f>IF(T_Bonus[[#This Row],[達成率]]&gt;='獎金規則'!$B$3,"達標","未達標")</f>
        <v/>
      </c>
      <c r="I5" s="2">
        <f>_xlfn.IFS(T_Bonus[[#This Row],[達成率]]&gt;='獎金規則'!$B$2,"A",T_Bonus[[#This Row],[達成率]]&gt;='獎金規則'!$B$3,"B",T_Bonus[[#This Row],[達成率]]&gt;='獎金規則'!$B$4,"C",TRUE,"無")</f>
        <v/>
      </c>
      <c r="J5" s="2">
        <f>IF(AND(T_Bonus[[#This Row],[是否達標]]="達標",T_Bonus[[#This Row],[全勤]]="是"),"是","否")</f>
        <v/>
      </c>
    </row>
    <row r="6">
      <c r="A6" s="2" t="inlineStr">
        <is>
          <t>E005</t>
        </is>
      </c>
      <c r="B6" s="2" t="inlineStr">
        <is>
          <t>李宜蓁</t>
        </is>
      </c>
      <c r="C6" s="2" t="inlineStr">
        <is>
          <t>業務二部</t>
        </is>
      </c>
      <c r="D6" s="3" t="n">
        <v>400000</v>
      </c>
      <c r="E6" s="3" t="n">
        <v>300000</v>
      </c>
      <c r="F6" s="2" t="inlineStr">
        <is>
          <t>是</t>
        </is>
      </c>
      <c r="G6" s="4">
        <f>T_Bonus[[#This Row],[實際業績]]/T_Bonus[[#This Row],[業績目標]]</f>
        <v/>
      </c>
      <c r="H6" s="2">
        <f>IF(T_Bonus[[#This Row],[達成率]]&gt;='獎金規則'!$B$3,"達標","未達標")</f>
        <v/>
      </c>
      <c r="I6" s="2">
        <f>_xlfn.IFS(T_Bonus[[#This Row],[達成率]]&gt;='獎金規則'!$B$2,"A",T_Bonus[[#This Row],[達成率]]&gt;='獎金規則'!$B$3,"B",T_Bonus[[#This Row],[達成率]]&gt;='獎金規則'!$B$4,"C",TRUE,"無")</f>
        <v/>
      </c>
      <c r="J6" s="2">
        <f>IF(AND(T_Bonus[[#This Row],[是否達標]]="達標",T_Bonus[[#This Row],[全勤]]="是"),"是","否")</f>
        <v/>
      </c>
    </row>
    <row r="7">
      <c r="A7" s="2" t="inlineStr">
        <is>
          <t>E006</t>
        </is>
      </c>
      <c r="B7" s="2" t="inlineStr">
        <is>
          <t>王俊傑</t>
        </is>
      </c>
      <c r="C7" s="2" t="inlineStr">
        <is>
          <t>業務二部</t>
        </is>
      </c>
      <c r="D7" s="3" t="n">
        <v>500000</v>
      </c>
      <c r="E7" s="3" t="n">
        <v>500000</v>
      </c>
      <c r="F7" s="2" t="inlineStr">
        <is>
          <t>是</t>
        </is>
      </c>
      <c r="G7" s="4">
        <f>T_Bonus[[#This Row],[實際業績]]/T_Bonus[[#This Row],[業績目標]]</f>
        <v/>
      </c>
      <c r="H7" s="2">
        <f>IF(T_Bonus[[#This Row],[達成率]]&gt;='獎金規則'!$B$3,"達標","未達標")</f>
        <v/>
      </c>
      <c r="I7" s="2">
        <f>_xlfn.IFS(T_Bonus[[#This Row],[達成率]]&gt;='獎金規則'!$B$2,"A",T_Bonus[[#This Row],[達成率]]&gt;='獎金規則'!$B$3,"B",T_Bonus[[#This Row],[達成率]]&gt;='獎金規則'!$B$4,"C",TRUE,"無")</f>
        <v/>
      </c>
      <c r="J7" s="2">
        <f>IF(AND(T_Bonus[[#This Row],[是否達標]]="達標",T_Bonus[[#This Row],[全勤]]="是"),"是","否")</f>
        <v/>
      </c>
    </row>
    <row r="8">
      <c r="A8" s="2" t="inlineStr">
        <is>
          <t>E007</t>
        </is>
      </c>
      <c r="B8" s="2" t="inlineStr">
        <is>
          <t>吳佩珊</t>
        </is>
      </c>
      <c r="C8" s="2" t="inlineStr">
        <is>
          <t>業務三部</t>
        </is>
      </c>
      <c r="D8" s="3" t="n">
        <v>600000</v>
      </c>
      <c r="E8" s="3" t="n">
        <v>690000</v>
      </c>
      <c r="F8" s="2" t="inlineStr">
        <is>
          <t>是</t>
        </is>
      </c>
      <c r="G8" s="4">
        <f>T_Bonus[[#This Row],[實際業績]]/T_Bonus[[#This Row],[業績目標]]</f>
        <v/>
      </c>
      <c r="H8" s="2">
        <f>IF(T_Bonus[[#This Row],[達成率]]&gt;='獎金規則'!$B$3,"達標","未達標")</f>
        <v/>
      </c>
      <c r="I8" s="2">
        <f>_xlfn.IFS(T_Bonus[[#This Row],[達成率]]&gt;='獎金規則'!$B$2,"A",T_Bonus[[#This Row],[達成率]]&gt;='獎金規則'!$B$3,"B",T_Bonus[[#This Row],[達成率]]&gt;='獎金規則'!$B$4,"C",TRUE,"無")</f>
        <v/>
      </c>
      <c r="J8" s="2">
        <f>IF(AND(T_Bonus[[#This Row],[是否達標]]="達標",T_Bonus[[#This Row],[全勤]]="是"),"是","否")</f>
        <v/>
      </c>
    </row>
    <row r="9">
      <c r="A9" s="2" t="inlineStr">
        <is>
          <t>E008</t>
        </is>
      </c>
      <c r="B9" s="2" t="inlineStr">
        <is>
          <t>劉冠廷</t>
        </is>
      </c>
      <c r="C9" s="2" t="inlineStr">
        <is>
          <t>業務三部</t>
        </is>
      </c>
      <c r="D9" s="3" t="n">
        <v>450000</v>
      </c>
      <c r="E9" s="3" t="n">
        <v>396000</v>
      </c>
      <c r="F9" s="2" t="inlineStr">
        <is>
          <t>否</t>
        </is>
      </c>
      <c r="G9" s="4">
        <f>T_Bonus[[#This Row],[實際業績]]/T_Bonus[[#This Row],[業績目標]]</f>
        <v/>
      </c>
      <c r="H9" s="2">
        <f>IF(T_Bonus[[#This Row],[達成率]]&gt;='獎金規則'!$B$3,"達標","未達標")</f>
        <v/>
      </c>
      <c r="I9" s="2">
        <f>_xlfn.IFS(T_Bonus[[#This Row],[達成率]]&gt;='獎金規則'!$B$2,"A",T_Bonus[[#This Row],[達成率]]&gt;='獎金規則'!$B$3,"B",T_Bonus[[#This Row],[達成率]]&gt;='獎金規則'!$B$4,"C",TRUE,"無")</f>
        <v/>
      </c>
      <c r="J9" s="2">
        <f>IF(AND(T_Bonus[[#This Row],[是否達標]]="達標",T_Bonus[[#This Row],[全勤]]="是"),"是","否")</f>
        <v/>
      </c>
    </row>
    <row r="10">
      <c r="A10" s="2" t="inlineStr">
        <is>
          <t>E009</t>
        </is>
      </c>
      <c r="B10" s="2" t="inlineStr">
        <is>
          <t>蔡雅婷</t>
        </is>
      </c>
      <c r="C10" s="2" t="inlineStr">
        <is>
          <t>業務三部</t>
        </is>
      </c>
      <c r="D10" s="3" t="n">
        <v>380000</v>
      </c>
      <c r="E10" s="3" t="n">
        <v>471200</v>
      </c>
      <c r="F10" s="2" t="inlineStr">
        <is>
          <t>是</t>
        </is>
      </c>
      <c r="G10" s="4">
        <f>T_Bonus[[#This Row],[實際業績]]/T_Bonus[[#This Row],[業績目標]]</f>
        <v/>
      </c>
      <c r="H10" s="2">
        <f>IF(T_Bonus[[#This Row],[達成率]]&gt;='獎金規則'!$B$3,"達標","未達標")</f>
        <v/>
      </c>
      <c r="I10" s="2">
        <f>_xlfn.IFS(T_Bonus[[#This Row],[達成率]]&gt;='獎金規則'!$B$2,"A",T_Bonus[[#This Row],[達成率]]&gt;='獎金規則'!$B$3,"B",T_Bonus[[#This Row],[達成率]]&gt;='獎金規則'!$B$4,"C",TRUE,"無")</f>
        <v/>
      </c>
      <c r="J10" s="2">
        <f>IF(AND(T_Bonus[[#This Row],[是否達標]]="達標",T_Bonus[[#This Row],[全勤]]="是"),"是","否")</f>
        <v/>
      </c>
    </row>
    <row r="11">
      <c r="A11" s="2" t="inlineStr">
        <is>
          <t>E010</t>
        </is>
      </c>
      <c r="B11" s="2" t="inlineStr">
        <is>
          <t>楊承恩</t>
        </is>
      </c>
      <c r="C11" s="2" t="inlineStr">
        <is>
          <t>業務一部</t>
        </is>
      </c>
      <c r="D11" s="3" t="n">
        <v>420000</v>
      </c>
      <c r="E11" s="3" t="n">
        <v>344400</v>
      </c>
      <c r="F11" s="2" t="inlineStr">
        <is>
          <t>否</t>
        </is>
      </c>
      <c r="G11" s="4">
        <f>T_Bonus[[#This Row],[實際業績]]/T_Bonus[[#This Row],[業績目標]]</f>
        <v/>
      </c>
      <c r="H11" s="2">
        <f>IF(T_Bonus[[#This Row],[達成率]]&gt;='獎金規則'!$B$3,"達標","未達標")</f>
        <v/>
      </c>
      <c r="I11" s="2">
        <f>_xlfn.IFS(T_Bonus[[#This Row],[達成率]]&gt;='獎金規則'!$B$2,"A",T_Bonus[[#This Row],[達成率]]&gt;='獎金規則'!$B$3,"B",T_Bonus[[#This Row],[達成率]]&gt;='獎金規則'!$B$4,"C",TRUE,"無")</f>
        <v/>
      </c>
      <c r="J11" s="2">
        <f>IF(AND(T_Bonus[[#This Row],[是否達標]]="達標",T_Bonus[[#This Row],[全勤]]="是"),"是","否")</f>
        <v/>
      </c>
    </row>
    <row r="12">
      <c r="A12" s="2" t="inlineStr">
        <is>
          <t>E011</t>
        </is>
      </c>
      <c r="B12" s="2" t="inlineStr">
        <is>
          <t>許書瑜</t>
        </is>
      </c>
      <c r="C12" s="2" t="inlineStr">
        <is>
          <t>業務二部</t>
        </is>
      </c>
      <c r="D12" s="3" t="n">
        <v>550000</v>
      </c>
      <c r="E12" s="3" t="n">
        <v>412500</v>
      </c>
      <c r="F12" s="2" t="inlineStr">
        <is>
          <t>是</t>
        </is>
      </c>
      <c r="G12" s="4">
        <f>T_Bonus[[#This Row],[實際業績]]/T_Bonus[[#This Row],[業績目標]]</f>
        <v/>
      </c>
      <c r="H12" s="2">
        <f>IF(T_Bonus[[#This Row],[達成率]]&gt;='獎金規則'!$B$3,"達標","未達標")</f>
        <v/>
      </c>
      <c r="I12" s="2">
        <f>_xlfn.IFS(T_Bonus[[#This Row],[達成率]]&gt;='獎金規則'!$B$2,"A",T_Bonus[[#This Row],[達成率]]&gt;='獎金規則'!$B$3,"B",T_Bonus[[#This Row],[達成率]]&gt;='獎金規則'!$B$4,"C",TRUE,"無")</f>
        <v/>
      </c>
      <c r="J12" s="2">
        <f>IF(AND(T_Bonus[[#This Row],[是否達標]]="達標",T_Bonus[[#This Row],[全勤]]="是"),"是","否")</f>
        <v/>
      </c>
    </row>
    <row r="13">
      <c r="A13" s="2" t="inlineStr">
        <is>
          <t>E012</t>
        </is>
      </c>
      <c r="B13" s="2" t="inlineStr">
        <is>
          <t>鄭宇翔</t>
        </is>
      </c>
      <c r="C13" s="2" t="inlineStr">
        <is>
          <t>業務三部</t>
        </is>
      </c>
      <c r="D13" s="3" t="n">
        <v>500000</v>
      </c>
      <c r="E13" s="3" t="n">
        <v>590000</v>
      </c>
      <c r="F13" s="2" t="inlineStr">
        <is>
          <t>否</t>
        </is>
      </c>
      <c r="G13" s="4">
        <f>T_Bonus[[#This Row],[實際業績]]/T_Bonus[[#This Row],[業績目標]]</f>
        <v/>
      </c>
      <c r="H13" s="2">
        <f>IF(T_Bonus[[#This Row],[達成率]]&gt;='獎金規則'!$B$3,"達標","未達標")</f>
        <v/>
      </c>
      <c r="I13" s="2">
        <f>_xlfn.IFS(T_Bonus[[#This Row],[達成率]]&gt;='獎金規則'!$B$2,"A",T_Bonus[[#This Row],[達成率]]&gt;='獎金規則'!$B$3,"B",T_Bonus[[#This Row],[達成率]]&gt;='獎金規則'!$B$4,"C",TRUE,"無")</f>
        <v/>
      </c>
      <c r="J13" s="2">
        <f>IF(AND(T_Bonus[[#This Row],[是否達標]]="達標",T_Bonus[[#This Row],[全勤]]="是"),"是","否")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</cols>
  <sheetData>
    <row r="1">
      <c r="A1" s="1" t="inlineStr">
        <is>
          <t>獎金等級</t>
        </is>
      </c>
      <c r="B1" s="1" t="inlineStr">
        <is>
          <t>達成率下限</t>
        </is>
      </c>
      <c r="C1" s="1" t="inlineStr">
        <is>
          <t>說明</t>
        </is>
      </c>
    </row>
    <row r="2">
      <c r="A2" s="2" t="inlineStr">
        <is>
          <t>A</t>
        </is>
      </c>
      <c r="B2" s="5" t="n">
        <v>1.2</v>
      </c>
      <c r="C2" s="2" t="inlineStr">
        <is>
          <t>達成率 ≥ 120%</t>
        </is>
      </c>
    </row>
    <row r="3">
      <c r="A3" s="2" t="inlineStr">
        <is>
          <t>B</t>
        </is>
      </c>
      <c r="B3" s="5" t="n">
        <v>1</v>
      </c>
      <c r="C3" s="2" t="inlineStr">
        <is>
          <t>達成率 ≥ 100%</t>
        </is>
      </c>
    </row>
    <row r="4">
      <c r="A4" s="2" t="inlineStr">
        <is>
          <t>C</t>
        </is>
      </c>
      <c r="B4" s="5" t="n">
        <v>0.8</v>
      </c>
      <c r="C4" s="2" t="inlineStr">
        <is>
          <t>達成率 ≥ 80%</t>
        </is>
      </c>
    </row>
    <row r="5">
      <c r="A5" s="2" t="inlineStr">
        <is>
          <t>無</t>
        </is>
      </c>
      <c r="B5" s="5" t="n"/>
      <c r="C5" s="2" t="inlineStr">
        <is>
          <t>達成率未滿 80%</t>
        </is>
      </c>
    </row>
    <row r="7">
      <c r="A7" s="6" t="inlineStr">
        <is>
          <t>全勤加碼：「是否達標」為達標，而且「全勤」為是，兩個條件都要成立（AND）。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2026-10-24T08:28:10Z</dcterms:created>
  <dcterms:modified xsi:type="dcterms:W3CDTF">2026-10-24T08:28:10Z</dcterms:modified>
</cp:coreProperties>
</file>