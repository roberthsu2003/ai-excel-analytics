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訂單明細" sheetId="1" state="visible" r:id="rId1"/>
    <sheet name="產品主檔" sheetId="2" state="visible" r:id="rId2"/>
    <sheet name="訂單彙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</font>
    <font>
      <name val="Microsoft JhengHei"/>
      <b val="1"/>
    </font>
    <font>
      <name val="Microsoft JhengHei"/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" fontId="0" fillId="0" borderId="0" pivotButton="0" quotePrefix="0" xfId="0"/>
    <xf numFmtId="0" fontId="4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_Order" displayName="T_Order" ref="A1:H16" headerRowCount="1">
  <autoFilter ref="A1:H16"/>
  <tableColumns count="8">
    <tableColumn id="1" name="訂單編號"/>
    <tableColumn id="2" name="訂單日期"/>
    <tableColumn id="3" name="產品編號"/>
    <tableColumn id="4" name="數量"/>
    <tableColumn id="5" name="產品名稱">
      <calculatedColumnFormula>_xlfn.XLOOKUP(T_Order[[#This Row],[產品編號]],T_Product[產品編號],T_Product[產品名稱],"查無此編號")</calculatedColumnFormula>
    </tableColumn>
    <tableColumn id="6" name="類別">
      <calculatedColumnFormula>_xlfn.XLOOKUP(T_Order[[#This Row],[產品編號]],T_Product[產品編號],T_Product[類別],"—")</calculatedColumnFormula>
    </tableColumn>
    <tableColumn id="7" name="單價">
      <calculatedColumnFormula>_xlfn.XLOOKUP(T_Order[[#This Row],[產品編號]],T_Product[產品編號],T_Product[單價],0)</calculatedColumnFormula>
    </tableColumn>
    <tableColumn id="8" name="小計">
      <calculatedColumnFormula>T_Order[[#This Row],[數量]]*T_Order[[#This Row],[單價]]</calculatedColumnFormula>
    </tableColumn>
  </tableColumns>
  <tableStyleInfo name="TableStyleMedium2" showRowStripes="1"/>
</table>
</file>

<file path=xl/tables/table2.xml><?xml version="1.0" encoding="utf-8"?>
<table xmlns="http://schemas.openxmlformats.org/spreadsheetml/2006/main" id="2" name="T_Product" displayName="T_Product" ref="A1:E9" headerRowCount="1">
  <autoFilter ref="A1:E9"/>
  <tableColumns count="5">
    <tableColumn id="1" name="產品編號"/>
    <tableColumn id="2" name="產品名稱"/>
    <tableColumn id="3" name="類別"/>
    <tableColumn id="4" name="單價"/>
    <tableColumn id="5" name="成本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7" customWidth="1" min="4" max="4"/>
    <col width="14" customWidth="1" min="5" max="5"/>
    <col width="10" customWidth="1" min="6" max="6"/>
    <col width="9" customWidth="1" min="7" max="7"/>
    <col width="10" customWidth="1" min="8" max="8"/>
  </cols>
  <sheetData>
    <row r="1">
      <c r="A1" s="1" t="inlineStr">
        <is>
          <t>訂單編號</t>
        </is>
      </c>
      <c r="B1" s="1" t="inlineStr">
        <is>
          <t>訂單日期</t>
        </is>
      </c>
      <c r="C1" s="1" t="inlineStr">
        <is>
          <t>產品編號</t>
        </is>
      </c>
      <c r="D1" s="1" t="inlineStr">
        <is>
          <t>數量</t>
        </is>
      </c>
      <c r="E1" s="1" t="inlineStr">
        <is>
          <t>產品名稱</t>
        </is>
      </c>
      <c r="F1" s="1" t="inlineStr">
        <is>
          <t>類別</t>
        </is>
      </c>
      <c r="G1" s="1" t="inlineStr">
        <is>
          <t>單價</t>
        </is>
      </c>
      <c r="H1" s="1" t="inlineStr">
        <is>
          <t>小計</t>
        </is>
      </c>
    </row>
    <row r="2">
      <c r="A2" s="2" t="inlineStr">
        <is>
          <t>O-0001</t>
        </is>
      </c>
      <c r="B2" s="3" t="n">
        <v>46025</v>
      </c>
      <c r="C2" s="2" t="inlineStr">
        <is>
          <t>P-003</t>
        </is>
      </c>
      <c r="D2" s="4" t="n">
        <v>2</v>
      </c>
      <c r="E2" s="2">
        <f>_xlfn.XLOOKUP(T_Order[[#This Row],[產品編號]],T_Product[產品編號],T_Product[產品名稱],"查無此編號")</f>
        <v/>
      </c>
      <c r="F2" s="2">
        <f>_xlfn.XLOOKUP(T_Order[[#This Row],[產品編號]],T_Product[產品編號],T_Product[類別],"—")</f>
        <v/>
      </c>
      <c r="G2" s="4">
        <f>_xlfn.XLOOKUP(T_Order[[#This Row],[產品編號]],T_Product[產品編號],T_Product[單價],0)</f>
        <v/>
      </c>
      <c r="H2" s="4">
        <f>T_Order[[#This Row],[數量]]*T_Order[[#This Row],[單價]]</f>
        <v/>
      </c>
    </row>
    <row r="3">
      <c r="A3" s="2" t="inlineStr">
        <is>
          <t>O-0002</t>
        </is>
      </c>
      <c r="B3" s="3" t="n">
        <v>46027</v>
      </c>
      <c r="C3" s="2" t="inlineStr">
        <is>
          <t>P-001</t>
        </is>
      </c>
      <c r="D3" s="4" t="n">
        <v>10</v>
      </c>
      <c r="E3" s="2">
        <f>_xlfn.XLOOKUP(T_Order[[#This Row],[產品編號]],T_Product[產品編號],T_Product[產品名稱],"查無此編號")</f>
        <v/>
      </c>
      <c r="F3" s="2">
        <f>_xlfn.XLOOKUP(T_Order[[#This Row],[產品編號]],T_Product[產品編號],T_Product[類別],"—")</f>
        <v/>
      </c>
      <c r="G3" s="4">
        <f>_xlfn.XLOOKUP(T_Order[[#This Row],[產品編號]],T_Product[產品編號],T_Product[單價],0)</f>
        <v/>
      </c>
      <c r="H3" s="4">
        <f>T_Order[[#This Row],[數量]]*T_Order[[#This Row],[單價]]</f>
        <v/>
      </c>
    </row>
    <row r="4">
      <c r="A4" s="2" t="inlineStr">
        <is>
          <t>O-0003</t>
        </is>
      </c>
      <c r="B4" s="3" t="n">
        <v>46028</v>
      </c>
      <c r="C4" s="2" t="inlineStr">
        <is>
          <t>P-006</t>
        </is>
      </c>
      <c r="D4" s="4" t="n">
        <v>3</v>
      </c>
      <c r="E4" s="2">
        <f>_xlfn.XLOOKUP(T_Order[[#This Row],[產品編號]],T_Product[產品編號],T_Product[產品名稱],"查無此編號")</f>
        <v/>
      </c>
      <c r="F4" s="2">
        <f>_xlfn.XLOOKUP(T_Order[[#This Row],[產品編號]],T_Product[產品編號],T_Product[類別],"—")</f>
        <v/>
      </c>
      <c r="G4" s="4">
        <f>_xlfn.XLOOKUP(T_Order[[#This Row],[產品編號]],T_Product[產品編號],T_Product[單價],0)</f>
        <v/>
      </c>
      <c r="H4" s="4">
        <f>T_Order[[#This Row],[數量]]*T_Order[[#This Row],[單價]]</f>
        <v/>
      </c>
    </row>
    <row r="5">
      <c r="A5" s="2" t="inlineStr">
        <is>
          <t>O-0004</t>
        </is>
      </c>
      <c r="B5" s="3" t="n">
        <v>46030</v>
      </c>
      <c r="C5" s="2" t="inlineStr">
        <is>
          <t>P-002</t>
        </is>
      </c>
      <c r="D5" s="4" t="n">
        <v>4</v>
      </c>
      <c r="E5" s="2">
        <f>_xlfn.XLOOKUP(T_Order[[#This Row],[產品編號]],T_Product[產品編號],T_Product[產品名稱],"查無此編號")</f>
        <v/>
      </c>
      <c r="F5" s="2">
        <f>_xlfn.XLOOKUP(T_Order[[#This Row],[產品編號]],T_Product[產品編號],T_Product[類別],"—")</f>
        <v/>
      </c>
      <c r="G5" s="4">
        <f>_xlfn.XLOOKUP(T_Order[[#This Row],[產品編號]],T_Product[產品編號],T_Product[單價],0)</f>
        <v/>
      </c>
      <c r="H5" s="4">
        <f>T_Order[[#This Row],[數量]]*T_Order[[#This Row],[單價]]</f>
        <v/>
      </c>
    </row>
    <row r="6">
      <c r="A6" s="2" t="inlineStr">
        <is>
          <t>O-0005</t>
        </is>
      </c>
      <c r="B6" s="3" t="n">
        <v>46032</v>
      </c>
      <c r="C6" s="2" t="inlineStr">
        <is>
          <t>P-004</t>
        </is>
      </c>
      <c r="D6" s="4" t="n">
        <v>6</v>
      </c>
      <c r="E6" s="2">
        <f>_xlfn.XLOOKUP(T_Order[[#This Row],[產品編號]],T_Product[產品編號],T_Product[產品名稱],"查無此編號")</f>
        <v/>
      </c>
      <c r="F6" s="2">
        <f>_xlfn.XLOOKUP(T_Order[[#This Row],[產品編號]],T_Product[產品編號],T_Product[類別],"—")</f>
        <v/>
      </c>
      <c r="G6" s="4">
        <f>_xlfn.XLOOKUP(T_Order[[#This Row],[產品編號]],T_Product[產品編號],T_Product[單價],0)</f>
        <v/>
      </c>
      <c r="H6" s="4">
        <f>T_Order[[#This Row],[數量]]*T_Order[[#This Row],[單價]]</f>
        <v/>
      </c>
    </row>
    <row r="7">
      <c r="A7" s="2" t="inlineStr">
        <is>
          <t>O-0006</t>
        </is>
      </c>
      <c r="B7" s="3" t="n">
        <v>46034</v>
      </c>
      <c r="C7" s="2" t="inlineStr">
        <is>
          <t>P-999</t>
        </is>
      </c>
      <c r="D7" s="4" t="n">
        <v>2</v>
      </c>
      <c r="E7" s="2">
        <f>_xlfn.XLOOKUP(T_Order[[#This Row],[產品編號]],T_Product[產品編號],T_Product[產品名稱],"查無此編號")</f>
        <v/>
      </c>
      <c r="F7" s="2">
        <f>_xlfn.XLOOKUP(T_Order[[#This Row],[產品編號]],T_Product[產品編號],T_Product[類別],"—")</f>
        <v/>
      </c>
      <c r="G7" s="4">
        <f>_xlfn.XLOOKUP(T_Order[[#This Row],[產品編號]],T_Product[產品編號],T_Product[單價],0)</f>
        <v/>
      </c>
      <c r="H7" s="4">
        <f>T_Order[[#This Row],[數量]]*T_Order[[#This Row],[單價]]</f>
        <v/>
      </c>
    </row>
    <row r="8">
      <c r="A8" s="2" t="inlineStr">
        <is>
          <t>O-0007</t>
        </is>
      </c>
      <c r="B8" s="3" t="n">
        <v>46036</v>
      </c>
      <c r="C8" s="2" t="inlineStr">
        <is>
          <t>P-005</t>
        </is>
      </c>
      <c r="D8" s="4" t="n">
        <v>5</v>
      </c>
      <c r="E8" s="2">
        <f>_xlfn.XLOOKUP(T_Order[[#This Row],[產品編號]],T_Product[產品編號],T_Product[產品名稱],"查無此編號")</f>
        <v/>
      </c>
      <c r="F8" s="2">
        <f>_xlfn.XLOOKUP(T_Order[[#This Row],[產品編號]],T_Product[產品編號],T_Product[類別],"—")</f>
        <v/>
      </c>
      <c r="G8" s="4">
        <f>_xlfn.XLOOKUP(T_Order[[#This Row],[產品編號]],T_Product[產品編號],T_Product[單價],0)</f>
        <v/>
      </c>
      <c r="H8" s="4">
        <f>T_Order[[#This Row],[數量]]*T_Order[[#This Row],[單價]]</f>
        <v/>
      </c>
    </row>
    <row r="9">
      <c r="A9" s="2" t="inlineStr">
        <is>
          <t>O-0008</t>
        </is>
      </c>
      <c r="B9" s="3" t="n">
        <v>46037</v>
      </c>
      <c r="C9" s="2" t="inlineStr">
        <is>
          <t>P-007</t>
        </is>
      </c>
      <c r="D9" s="4" t="n">
        <v>3</v>
      </c>
      <c r="E9" s="2">
        <f>_xlfn.XLOOKUP(T_Order[[#This Row],[產品編號]],T_Product[產品編號],T_Product[產品名稱],"查無此編號")</f>
        <v/>
      </c>
      <c r="F9" s="2">
        <f>_xlfn.XLOOKUP(T_Order[[#This Row],[產品編號]],T_Product[產品編號],T_Product[類別],"—")</f>
        <v/>
      </c>
      <c r="G9" s="4">
        <f>_xlfn.XLOOKUP(T_Order[[#This Row],[產品編號]],T_Product[產品編號],T_Product[單價],0)</f>
        <v/>
      </c>
      <c r="H9" s="4">
        <f>T_Order[[#This Row],[數量]]*T_Order[[#This Row],[單價]]</f>
        <v/>
      </c>
    </row>
    <row r="10">
      <c r="A10" s="2" t="inlineStr">
        <is>
          <t>O-0009</t>
        </is>
      </c>
      <c r="B10" s="3" t="n">
        <v>46039</v>
      </c>
      <c r="C10" s="2" t="inlineStr">
        <is>
          <t>P-008</t>
        </is>
      </c>
      <c r="D10" s="4" t="n">
        <v>4</v>
      </c>
      <c r="E10" s="2">
        <f>_xlfn.XLOOKUP(T_Order[[#This Row],[產品編號]],T_Product[產品編號],T_Product[產品名稱],"查無此編號")</f>
        <v/>
      </c>
      <c r="F10" s="2">
        <f>_xlfn.XLOOKUP(T_Order[[#This Row],[產品編號]],T_Product[產品編號],T_Product[類別],"—")</f>
        <v/>
      </c>
      <c r="G10" s="4">
        <f>_xlfn.XLOOKUP(T_Order[[#This Row],[產品編號]],T_Product[產品編號],T_Product[單價],0)</f>
        <v/>
      </c>
      <c r="H10" s="4">
        <f>T_Order[[#This Row],[數量]]*T_Order[[#This Row],[單價]]</f>
        <v/>
      </c>
    </row>
    <row r="11">
      <c r="A11" s="2" t="inlineStr">
        <is>
          <t>O-0010</t>
        </is>
      </c>
      <c r="B11" s="3" t="n">
        <v>46042</v>
      </c>
      <c r="C11" s="2" t="inlineStr">
        <is>
          <t>P-003</t>
        </is>
      </c>
      <c r="D11" s="4" t="n">
        <v>1</v>
      </c>
      <c r="E11" s="2">
        <f>_xlfn.XLOOKUP(T_Order[[#This Row],[產品編號]],T_Product[產品編號],T_Product[產品名稱],"查無此編號")</f>
        <v/>
      </c>
      <c r="F11" s="2">
        <f>_xlfn.XLOOKUP(T_Order[[#This Row],[產品編號]],T_Product[產品編號],T_Product[類別],"—")</f>
        <v/>
      </c>
      <c r="G11" s="4">
        <f>_xlfn.XLOOKUP(T_Order[[#This Row],[產品編號]],T_Product[產品編號],T_Product[單價],0)</f>
        <v/>
      </c>
      <c r="H11" s="4">
        <f>T_Order[[#This Row],[數量]]*T_Order[[#This Row],[單價]]</f>
        <v/>
      </c>
    </row>
    <row r="12">
      <c r="A12" s="2" t="inlineStr">
        <is>
          <t>O-0011</t>
        </is>
      </c>
      <c r="B12" s="3" t="n">
        <v>46044</v>
      </c>
      <c r="C12" s="2" t="inlineStr">
        <is>
          <t>P-001</t>
        </is>
      </c>
      <c r="D12" s="4" t="n">
        <v>8</v>
      </c>
      <c r="E12" s="2">
        <f>_xlfn.XLOOKUP(T_Order[[#This Row],[產品編號]],T_Product[產品編號],T_Product[產品名稱],"查無此編號")</f>
        <v/>
      </c>
      <c r="F12" s="2">
        <f>_xlfn.XLOOKUP(T_Order[[#This Row],[產品編號]],T_Product[產品編號],T_Product[類別],"—")</f>
        <v/>
      </c>
      <c r="G12" s="4">
        <f>_xlfn.XLOOKUP(T_Order[[#This Row],[產品編號]],T_Product[產品編號],T_Product[單價],0)</f>
        <v/>
      </c>
      <c r="H12" s="4">
        <f>T_Order[[#This Row],[數量]]*T_Order[[#This Row],[單價]]</f>
        <v/>
      </c>
    </row>
    <row r="13">
      <c r="A13" s="2" t="inlineStr">
        <is>
          <t>O-0012</t>
        </is>
      </c>
      <c r="B13" s="3" t="n">
        <v>46046</v>
      </c>
      <c r="C13" s="2" t="inlineStr">
        <is>
          <t>P-006</t>
        </is>
      </c>
      <c r="D13" s="4" t="n">
        <v>2</v>
      </c>
      <c r="E13" s="2">
        <f>_xlfn.XLOOKUP(T_Order[[#This Row],[產品編號]],T_Product[產品編號],T_Product[產品名稱],"查無此編號")</f>
        <v/>
      </c>
      <c r="F13" s="2">
        <f>_xlfn.XLOOKUP(T_Order[[#This Row],[產品編號]],T_Product[產品編號],T_Product[類別],"—")</f>
        <v/>
      </c>
      <c r="G13" s="4">
        <f>_xlfn.XLOOKUP(T_Order[[#This Row],[產品編號]],T_Product[產品編號],T_Product[單價],0)</f>
        <v/>
      </c>
      <c r="H13" s="4">
        <f>T_Order[[#This Row],[數量]]*T_Order[[#This Row],[單價]]</f>
        <v/>
      </c>
    </row>
    <row r="14">
      <c r="A14" s="2" t="inlineStr">
        <is>
          <t>O-0013</t>
        </is>
      </c>
      <c r="B14" s="3" t="n">
        <v>46048</v>
      </c>
      <c r="C14" s="2" t="inlineStr">
        <is>
          <t>P-002</t>
        </is>
      </c>
      <c r="D14" s="4" t="n">
        <v>3</v>
      </c>
      <c r="E14" s="2">
        <f>_xlfn.XLOOKUP(T_Order[[#This Row],[產品編號]],T_Product[產品編號],T_Product[產品名稱],"查無此編號")</f>
        <v/>
      </c>
      <c r="F14" s="2">
        <f>_xlfn.XLOOKUP(T_Order[[#This Row],[產品編號]],T_Product[產品編號],T_Product[類別],"—")</f>
        <v/>
      </c>
      <c r="G14" s="4">
        <f>_xlfn.XLOOKUP(T_Order[[#This Row],[產品編號]],T_Product[產品編號],T_Product[單價],0)</f>
        <v/>
      </c>
      <c r="H14" s="4">
        <f>T_Order[[#This Row],[數量]]*T_Order[[#This Row],[單價]]</f>
        <v/>
      </c>
    </row>
    <row r="15">
      <c r="A15" s="2" t="inlineStr">
        <is>
          <t>O-0014</t>
        </is>
      </c>
      <c r="B15" s="3" t="n">
        <v>46050</v>
      </c>
      <c r="C15" s="2" t="inlineStr">
        <is>
          <t>P-004</t>
        </is>
      </c>
      <c r="D15" s="4" t="n">
        <v>12</v>
      </c>
      <c r="E15" s="2">
        <f>_xlfn.XLOOKUP(T_Order[[#This Row],[產品編號]],T_Product[產品編號],T_Product[產品名稱],"查無此編號")</f>
        <v/>
      </c>
      <c r="F15" s="2">
        <f>_xlfn.XLOOKUP(T_Order[[#This Row],[產品編號]],T_Product[產品編號],T_Product[類別],"—")</f>
        <v/>
      </c>
      <c r="G15" s="4">
        <f>_xlfn.XLOOKUP(T_Order[[#This Row],[產品編號]],T_Product[產品編號],T_Product[單價],0)</f>
        <v/>
      </c>
      <c r="H15" s="4">
        <f>T_Order[[#This Row],[數量]]*T_Order[[#This Row],[單價]]</f>
        <v/>
      </c>
    </row>
    <row r="16">
      <c r="A16" s="2" t="inlineStr">
        <is>
          <t>O-0015</t>
        </is>
      </c>
      <c r="B16" s="3" t="n">
        <v>46052</v>
      </c>
      <c r="C16" s="2" t="inlineStr">
        <is>
          <t>P-008</t>
        </is>
      </c>
      <c r="D16" s="4" t="n">
        <v>6</v>
      </c>
      <c r="E16" s="2">
        <f>_xlfn.XLOOKUP(T_Order[[#This Row],[產品編號]],T_Product[產品編號],T_Product[產品名稱],"查無此編號")</f>
        <v/>
      </c>
      <c r="F16" s="2">
        <f>_xlfn.XLOOKUP(T_Order[[#This Row],[產品編號]],T_Product[產品編號],T_Product[類別],"—")</f>
        <v/>
      </c>
      <c r="G16" s="4">
        <f>_xlfn.XLOOKUP(T_Order[[#This Row],[產品編號]],T_Product[產品編號],T_Product[單價],0)</f>
        <v/>
      </c>
      <c r="H16" s="4">
        <f>T_Order[[#This Row],[數量]]*T_Order[[#This Row],[單價]]</f>
        <v/>
      </c>
    </row>
  </sheetData>
  <conditionalFormatting sqref="A2:H200">
    <cfRule type="expression" priority="1" dxfId="0">
      <formula>$E2="查無此編號"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9" customWidth="1" min="5" max="5"/>
  </cols>
  <sheetData>
    <row r="1">
      <c r="A1" s="1" t="inlineStr">
        <is>
          <t>產品編號</t>
        </is>
      </c>
      <c r="B1" s="1" t="inlineStr">
        <is>
          <t>產品名稱</t>
        </is>
      </c>
      <c r="C1" s="1" t="inlineStr">
        <is>
          <t>類別</t>
        </is>
      </c>
      <c r="D1" s="1" t="inlineStr">
        <is>
          <t>單價</t>
        </is>
      </c>
      <c r="E1" s="1" t="inlineStr">
        <is>
          <t>成本</t>
        </is>
      </c>
    </row>
    <row r="2">
      <c r="A2" s="2" t="inlineStr">
        <is>
          <t>P-001</t>
        </is>
      </c>
      <c r="B2" s="2" t="inlineStr">
        <is>
          <t>無線滑鼠</t>
        </is>
      </c>
      <c r="C2" s="2" t="inlineStr">
        <is>
          <t>電腦周邊</t>
        </is>
      </c>
      <c r="D2" s="4" t="n">
        <v>590</v>
      </c>
      <c r="E2" s="4" t="n">
        <v>320</v>
      </c>
    </row>
    <row r="3">
      <c r="A3" s="2" t="inlineStr">
        <is>
          <t>P-002</t>
        </is>
      </c>
      <c r="B3" s="2" t="inlineStr">
        <is>
          <t>機械鍵盤</t>
        </is>
      </c>
      <c r="C3" s="2" t="inlineStr">
        <is>
          <t>電腦周邊</t>
        </is>
      </c>
      <c r="D3" s="4" t="n">
        <v>2490</v>
      </c>
      <c r="E3" s="4" t="n">
        <v>1450</v>
      </c>
    </row>
    <row r="4">
      <c r="A4" s="2" t="inlineStr">
        <is>
          <t>P-003</t>
        </is>
      </c>
      <c r="B4" s="2" t="inlineStr">
        <is>
          <t>27 吋螢幕</t>
        </is>
      </c>
      <c r="C4" s="2" t="inlineStr">
        <is>
          <t>顯示器</t>
        </is>
      </c>
      <c r="D4" s="4" t="n">
        <v>6990</v>
      </c>
      <c r="E4" s="4" t="n">
        <v>4800</v>
      </c>
    </row>
    <row r="5">
      <c r="A5" s="2" t="inlineStr">
        <is>
          <t>P-004</t>
        </is>
      </c>
      <c r="B5" s="2" t="inlineStr">
        <is>
          <t>USB-C 集線器</t>
        </is>
      </c>
      <c r="C5" s="2" t="inlineStr">
        <is>
          <t>配件</t>
        </is>
      </c>
      <c r="D5" s="4" t="n">
        <v>890</v>
      </c>
      <c r="E5" s="4" t="n">
        <v>420</v>
      </c>
    </row>
    <row r="6">
      <c r="A6" s="2" t="inlineStr">
        <is>
          <t>P-005</t>
        </is>
      </c>
      <c r="B6" s="2" t="inlineStr">
        <is>
          <t>筆電支架</t>
        </is>
      </c>
      <c r="C6" s="2" t="inlineStr">
        <is>
          <t>配件</t>
        </is>
      </c>
      <c r="D6" s="4" t="n">
        <v>1290</v>
      </c>
      <c r="E6" s="4" t="n">
        <v>610</v>
      </c>
    </row>
    <row r="7">
      <c r="A7" s="2" t="inlineStr">
        <is>
          <t>P-006</t>
        </is>
      </c>
      <c r="B7" s="2" t="inlineStr">
        <is>
          <t>降噪耳機</t>
        </is>
      </c>
      <c r="C7" s="2" t="inlineStr">
        <is>
          <t>音訊</t>
        </is>
      </c>
      <c r="D7" s="4" t="n">
        <v>3990</v>
      </c>
      <c r="E7" s="4" t="n">
        <v>2300</v>
      </c>
    </row>
    <row r="8">
      <c r="A8" s="2" t="inlineStr">
        <is>
          <t>P-007</t>
        </is>
      </c>
      <c r="B8" s="2" t="inlineStr">
        <is>
          <t>網路攝影機</t>
        </is>
      </c>
      <c r="C8" s="2" t="inlineStr">
        <is>
          <t>視訊</t>
        </is>
      </c>
      <c r="D8" s="4" t="n">
        <v>1790</v>
      </c>
      <c r="E8" s="4" t="n">
        <v>980</v>
      </c>
    </row>
    <row r="9">
      <c r="A9" s="2" t="inlineStr">
        <is>
          <t>P-008</t>
        </is>
      </c>
      <c r="B9" s="2" t="inlineStr">
        <is>
          <t>藍牙喇叭</t>
        </is>
      </c>
      <c r="C9" s="2" t="inlineStr">
        <is>
          <t>音訊</t>
        </is>
      </c>
      <c r="D9" s="4" t="n">
        <v>1590</v>
      </c>
      <c r="E9" s="4" t="n">
        <v>820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</cols>
  <sheetData>
    <row r="1">
      <c r="A1" s="1" t="inlineStr">
        <is>
          <t>彙總項目</t>
        </is>
      </c>
      <c r="B1" s="1" t="inlineStr">
        <is>
          <t>數值</t>
        </is>
      </c>
      <c r="C1" s="1" t="inlineStr">
        <is>
          <t>公式說明</t>
        </is>
      </c>
    </row>
    <row r="2">
      <c r="A2" s="5" t="inlineStr">
        <is>
          <t>訂單筆數</t>
        </is>
      </c>
      <c r="B2" s="6">
        <f>COUNTA(T_Order[訂單編號])</f>
        <v/>
      </c>
      <c r="C2" s="7" t="inlineStr">
        <is>
          <t>數有幾筆訂單</t>
        </is>
      </c>
    </row>
    <row r="3">
      <c r="A3" s="5" t="inlineStr">
        <is>
          <t>營收總計</t>
        </is>
      </c>
      <c r="B3" s="8">
        <f>SUM(T_Order[小計])</f>
        <v/>
      </c>
      <c r="C3" s="7" t="inlineStr">
        <is>
          <t>查無編號的訂單單價為 0，不計入營收</t>
        </is>
      </c>
    </row>
    <row r="4">
      <c r="A4" s="5" t="inlineStr">
        <is>
          <t>查無編號筆數</t>
        </is>
      </c>
      <c r="B4" s="6">
        <f>COUNTIF(T_Order[產品名稱],"查無此編號")</f>
        <v/>
      </c>
      <c r="C4" s="7" t="inlineStr">
        <is>
          <t>不是 0 就要回頭檢查訂單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2026-10-24T08:28:10Z</dcterms:created>
  <dcterms:modified xsi:type="dcterms:W3CDTF">2026-10-24T08:28:10Z</dcterms:modified>
</cp:coreProperties>
</file>