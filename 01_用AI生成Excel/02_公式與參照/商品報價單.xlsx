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價單" sheetId="1" state="visible" r:id="rId1"/>
    <sheet name="錯誤示範_相對參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</font>
    <font>
      <name val="Microsoft JhengHei"/>
      <b val="1"/>
      <color rgb="00FFFFFF"/>
    </font>
    <font>
      <name val="Microsoft JhengHei"/>
    </font>
    <font>
      <name val="Microsoft JhengHei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3" fontId="1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8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營業稅率</t>
        </is>
      </c>
      <c r="B1" s="2" t="n">
        <v>0.05</v>
      </c>
    </row>
    <row r="2">
      <c r="A2" s="1" t="inlineStr">
        <is>
          <t>未稅合計</t>
        </is>
      </c>
      <c r="B2" s="3">
        <f>SUM(E7:E14)</f>
        <v/>
      </c>
    </row>
    <row r="3">
      <c r="A3" s="1" t="inlineStr">
        <is>
          <t>稅額合計</t>
        </is>
      </c>
      <c r="B3" s="3">
        <f>SUM(F7:F14)</f>
        <v/>
      </c>
    </row>
    <row r="4">
      <c r="A4" s="1" t="inlineStr">
        <is>
          <t>含稅總額</t>
        </is>
      </c>
      <c r="B4" s="3">
        <f>B2+B3</f>
        <v/>
      </c>
    </row>
    <row r="6">
      <c r="A6" s="4" t="inlineStr">
        <is>
          <t>品項編號</t>
        </is>
      </c>
      <c r="B6" s="4" t="inlineStr">
        <is>
          <t>品名</t>
        </is>
      </c>
      <c r="C6" s="4" t="inlineStr">
        <is>
          <t>單價</t>
        </is>
      </c>
      <c r="D6" s="4" t="inlineStr">
        <is>
          <t>數量</t>
        </is>
      </c>
      <c r="E6" s="4" t="inlineStr">
        <is>
          <t>小計</t>
        </is>
      </c>
      <c r="F6" s="4" t="inlineStr">
        <is>
          <t>稅額</t>
        </is>
      </c>
      <c r="G6" s="4" t="inlineStr">
        <is>
          <t>含稅金額</t>
        </is>
      </c>
    </row>
    <row r="7">
      <c r="A7" s="5" t="inlineStr">
        <is>
          <t>P-001</t>
        </is>
      </c>
      <c r="B7" s="5" t="inlineStr">
        <is>
          <t>原子筆（藍，12 支裝）</t>
        </is>
      </c>
      <c r="C7" s="6" t="n">
        <v>120</v>
      </c>
      <c r="D7" s="6" t="n">
        <v>10</v>
      </c>
      <c r="E7" s="6">
        <f>C7*D7</f>
        <v/>
      </c>
      <c r="F7" s="6">
        <f>ROUND(E7*$B$1,0)</f>
        <v/>
      </c>
      <c r="G7" s="6">
        <f>E7+F7</f>
        <v/>
      </c>
    </row>
    <row r="8">
      <c r="A8" s="5" t="inlineStr">
        <is>
          <t>P-002</t>
        </is>
      </c>
      <c r="B8" s="5" t="inlineStr">
        <is>
          <t>A4 影印紙（500 張）</t>
        </is>
      </c>
      <c r="C8" s="6" t="n">
        <v>135</v>
      </c>
      <c r="D8" s="6" t="n">
        <v>20</v>
      </c>
      <c r="E8" s="6">
        <f>C8*D8</f>
        <v/>
      </c>
      <c r="F8" s="6">
        <f>ROUND(E8*$B$1,0)</f>
        <v/>
      </c>
      <c r="G8" s="6">
        <f>E8+F8</f>
        <v/>
      </c>
    </row>
    <row r="9">
      <c r="A9" s="5" t="inlineStr">
        <is>
          <t>P-003</t>
        </is>
      </c>
      <c r="B9" s="5" t="inlineStr">
        <is>
          <t>釘書機</t>
        </is>
      </c>
      <c r="C9" s="6" t="n">
        <v>180</v>
      </c>
      <c r="D9" s="6" t="n">
        <v>5</v>
      </c>
      <c r="E9" s="6">
        <f>C9*D9</f>
        <v/>
      </c>
      <c r="F9" s="6">
        <f>ROUND(E9*$B$1,0)</f>
        <v/>
      </c>
      <c r="G9" s="6">
        <f>E9+F9</f>
        <v/>
      </c>
    </row>
    <row r="10">
      <c r="A10" s="5" t="inlineStr">
        <is>
          <t>P-004</t>
        </is>
      </c>
      <c r="B10" s="5" t="inlineStr">
        <is>
          <t>便利貼（76×76 mm）</t>
        </is>
      </c>
      <c r="C10" s="6" t="n">
        <v>45</v>
      </c>
      <c r="D10" s="6" t="n">
        <v>30</v>
      </c>
      <c r="E10" s="6">
        <f>C10*D10</f>
        <v/>
      </c>
      <c r="F10" s="6">
        <f>ROUND(E10*$B$1,0)</f>
        <v/>
      </c>
      <c r="G10" s="6">
        <f>E10+F10</f>
        <v/>
      </c>
    </row>
    <row r="11">
      <c r="A11" s="5" t="inlineStr">
        <is>
          <t>P-005</t>
        </is>
      </c>
      <c r="B11" s="5" t="inlineStr">
        <is>
          <t>白板筆（4 色組）</t>
        </is>
      </c>
      <c r="C11" s="6" t="n">
        <v>160</v>
      </c>
      <c r="D11" s="6" t="n">
        <v>8</v>
      </c>
      <c r="E11" s="6">
        <f>C11*D11</f>
        <v/>
      </c>
      <c r="F11" s="6">
        <f>ROUND(E11*$B$1,0)</f>
        <v/>
      </c>
      <c r="G11" s="6">
        <f>E11+F11</f>
        <v/>
      </c>
    </row>
    <row r="12">
      <c r="A12" s="5" t="inlineStr">
        <is>
          <t>P-006</t>
        </is>
      </c>
      <c r="B12" s="5" t="inlineStr">
        <is>
          <t>A4 資料夾（10 入）</t>
        </is>
      </c>
      <c r="C12" s="6" t="n">
        <v>95</v>
      </c>
      <c r="D12" s="6" t="n">
        <v>15</v>
      </c>
      <c r="E12" s="6">
        <f>C12*D12</f>
        <v/>
      </c>
      <c r="F12" s="6">
        <f>ROUND(E12*$B$1,0)</f>
        <v/>
      </c>
      <c r="G12" s="6">
        <f>E12+F12</f>
        <v/>
      </c>
    </row>
    <row r="13">
      <c r="A13" s="5" t="inlineStr">
        <is>
          <t>P-007</t>
        </is>
      </c>
      <c r="B13" s="5" t="inlineStr">
        <is>
          <t>計算機</t>
        </is>
      </c>
      <c r="C13" s="6" t="n">
        <v>450</v>
      </c>
      <c r="D13" s="6" t="n">
        <v>3</v>
      </c>
      <c r="E13" s="6">
        <f>C13*D13</f>
        <v/>
      </c>
      <c r="F13" s="6">
        <f>ROUND(E13*$B$1,0)</f>
        <v/>
      </c>
      <c r="G13" s="6">
        <f>E13+F13</f>
        <v/>
      </c>
    </row>
    <row r="14">
      <c r="A14" s="5" t="inlineStr">
        <is>
          <t>P-008</t>
        </is>
      </c>
      <c r="B14" s="5" t="inlineStr">
        <is>
          <t>剪刀</t>
        </is>
      </c>
      <c r="C14" s="6" t="n">
        <v>70</v>
      </c>
      <c r="D14" s="6" t="n">
        <v>6</v>
      </c>
      <c r="E14" s="6">
        <f>C14*D14</f>
        <v/>
      </c>
      <c r="F14" s="6">
        <f>ROUND(E14*$B$1,0)</f>
        <v/>
      </c>
      <c r="G14" s="6">
        <f>E14+F14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8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營業稅率</t>
        </is>
      </c>
      <c r="B1" s="2" t="n">
        <v>0.05</v>
      </c>
      <c r="D1" s="7" t="inlineStr">
        <is>
          <t>⚠️ F 欄稅額用了相對參照 B1，向下填滿後變成 B2、B3…，數字全錯</t>
        </is>
      </c>
    </row>
    <row r="6">
      <c r="A6" s="4" t="inlineStr">
        <is>
          <t>品項編號</t>
        </is>
      </c>
      <c r="B6" s="4" t="inlineStr">
        <is>
          <t>品名</t>
        </is>
      </c>
      <c r="C6" s="4" t="inlineStr">
        <is>
          <t>單價</t>
        </is>
      </c>
      <c r="D6" s="4" t="inlineStr">
        <is>
          <t>數量</t>
        </is>
      </c>
      <c r="E6" s="4" t="inlineStr">
        <is>
          <t>小計</t>
        </is>
      </c>
      <c r="F6" s="4" t="inlineStr">
        <is>
          <t>稅額</t>
        </is>
      </c>
      <c r="G6" s="4" t="inlineStr">
        <is>
          <t>含稅金額</t>
        </is>
      </c>
    </row>
    <row r="7">
      <c r="A7" s="5" t="inlineStr">
        <is>
          <t>P-001</t>
        </is>
      </c>
      <c r="B7" s="5" t="inlineStr">
        <is>
          <t>原子筆（藍，12 支裝）</t>
        </is>
      </c>
      <c r="C7" s="6" t="n">
        <v>120</v>
      </c>
      <c r="D7" s="6" t="n">
        <v>10</v>
      </c>
      <c r="E7" s="6">
        <f>C7*D7</f>
        <v/>
      </c>
      <c r="F7" s="6">
        <f>ROUND(E7*B1,0)</f>
        <v/>
      </c>
      <c r="G7" s="6">
        <f>E7+F7</f>
        <v/>
      </c>
    </row>
    <row r="8">
      <c r="A8" s="5" t="inlineStr">
        <is>
          <t>P-002</t>
        </is>
      </c>
      <c r="B8" s="5" t="inlineStr">
        <is>
          <t>A4 影印紙（500 張）</t>
        </is>
      </c>
      <c r="C8" s="6" t="n">
        <v>135</v>
      </c>
      <c r="D8" s="6" t="n">
        <v>20</v>
      </c>
      <c r="E8" s="6">
        <f>C8*D8</f>
        <v/>
      </c>
      <c r="F8" s="6">
        <f>ROUND(E8*B2,0)</f>
        <v/>
      </c>
      <c r="G8" s="6">
        <f>E8+F8</f>
        <v/>
      </c>
    </row>
    <row r="9">
      <c r="A9" s="5" t="inlineStr">
        <is>
          <t>P-003</t>
        </is>
      </c>
      <c r="B9" s="5" t="inlineStr">
        <is>
          <t>釘書機</t>
        </is>
      </c>
      <c r="C9" s="6" t="n">
        <v>180</v>
      </c>
      <c r="D9" s="6" t="n">
        <v>5</v>
      </c>
      <c r="E9" s="6">
        <f>C9*D9</f>
        <v/>
      </c>
      <c r="F9" s="6">
        <f>ROUND(E9*B3,0)</f>
        <v/>
      </c>
      <c r="G9" s="6">
        <f>E9+F9</f>
        <v/>
      </c>
    </row>
    <row r="10">
      <c r="A10" s="5" t="inlineStr">
        <is>
          <t>P-004</t>
        </is>
      </c>
      <c r="B10" s="5" t="inlineStr">
        <is>
          <t>便利貼（76×76 mm）</t>
        </is>
      </c>
      <c r="C10" s="6" t="n">
        <v>45</v>
      </c>
      <c r="D10" s="6" t="n">
        <v>30</v>
      </c>
      <c r="E10" s="6">
        <f>C10*D10</f>
        <v/>
      </c>
      <c r="F10" s="6">
        <f>ROUND(E10*B4,0)</f>
        <v/>
      </c>
      <c r="G10" s="6">
        <f>E10+F10</f>
        <v/>
      </c>
    </row>
    <row r="11">
      <c r="A11" s="5" t="inlineStr">
        <is>
          <t>P-005</t>
        </is>
      </c>
      <c r="B11" s="5" t="inlineStr">
        <is>
          <t>白板筆（4 色組）</t>
        </is>
      </c>
      <c r="C11" s="6" t="n">
        <v>160</v>
      </c>
      <c r="D11" s="6" t="n">
        <v>8</v>
      </c>
      <c r="E11" s="6">
        <f>C11*D11</f>
        <v/>
      </c>
      <c r="F11" s="6">
        <f>ROUND(E11*B5,0)</f>
        <v/>
      </c>
      <c r="G11" s="6">
        <f>E11+F11</f>
        <v/>
      </c>
    </row>
    <row r="12">
      <c r="A12" s="5" t="inlineStr">
        <is>
          <t>P-006</t>
        </is>
      </c>
      <c r="B12" s="5" t="inlineStr">
        <is>
          <t>A4 資料夾（10 入）</t>
        </is>
      </c>
      <c r="C12" s="6" t="n">
        <v>95</v>
      </c>
      <c r="D12" s="6" t="n">
        <v>15</v>
      </c>
      <c r="E12" s="6">
        <f>C12*D12</f>
        <v/>
      </c>
      <c r="F12" s="6">
        <f>ROUND(E12*B6,0)</f>
        <v/>
      </c>
      <c r="G12" s="6">
        <f>E12+F12</f>
        <v/>
      </c>
    </row>
    <row r="13">
      <c r="A13" s="5" t="inlineStr">
        <is>
          <t>P-007</t>
        </is>
      </c>
      <c r="B13" s="5" t="inlineStr">
        <is>
          <t>計算機</t>
        </is>
      </c>
      <c r="C13" s="6" t="n">
        <v>450</v>
      </c>
      <c r="D13" s="6" t="n">
        <v>3</v>
      </c>
      <c r="E13" s="6">
        <f>C13*D13</f>
        <v/>
      </c>
      <c r="F13" s="6">
        <f>ROUND(E13*B7,0)</f>
        <v/>
      </c>
      <c r="G13" s="6">
        <f>E13+F13</f>
        <v/>
      </c>
    </row>
    <row r="14">
      <c r="A14" s="5" t="inlineStr">
        <is>
          <t>P-008</t>
        </is>
      </c>
      <c r="B14" s="5" t="inlineStr">
        <is>
          <t>剪刀</t>
        </is>
      </c>
      <c r="C14" s="6" t="n">
        <v>70</v>
      </c>
      <c r="D14" s="6" t="n">
        <v>6</v>
      </c>
      <c r="E14" s="6">
        <f>C14*D14</f>
        <v/>
      </c>
      <c r="F14" s="6">
        <f>ROUND(E14*B8,0)</f>
        <v/>
      </c>
      <c r="G14" s="6">
        <f>E14+F14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