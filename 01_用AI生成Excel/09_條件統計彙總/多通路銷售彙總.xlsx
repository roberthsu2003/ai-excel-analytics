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銷售明細" sheetId="1" state="visible" r:id="rId1"/>
    <sheet name="通路彙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4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3" fillId="3" borderId="0" pivotButton="0" quotePrefix="0" xfId="0"/>
    <xf numFmtId="165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Sales" displayName="T_Sales" ref="A1:E46" headerRowCount="1">
  <autoFilter ref="A1:E46"/>
  <tableColumns count="5">
    <tableColumn id="1" name="訂單編號"/>
    <tableColumn id="2" name="訂單日期"/>
    <tableColumn id="3" name="通路"/>
    <tableColumn id="4" name="產品類別"/>
    <tableColumn id="5" name="銷售金額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訂單編號</t>
        </is>
      </c>
      <c r="B1" s="1" t="inlineStr">
        <is>
          <t>訂單日期</t>
        </is>
      </c>
      <c r="C1" s="1" t="inlineStr">
        <is>
          <t>通路</t>
        </is>
      </c>
      <c r="D1" s="1" t="inlineStr">
        <is>
          <t>產品類別</t>
        </is>
      </c>
      <c r="E1" s="1" t="inlineStr">
        <is>
          <t>銷售金額</t>
        </is>
      </c>
    </row>
    <row r="2">
      <c r="A2" s="2" t="inlineStr">
        <is>
          <t>S-0001</t>
        </is>
      </c>
      <c r="B2" s="3" t="n">
        <v>46024</v>
      </c>
      <c r="C2" s="2" t="inlineStr">
        <is>
          <t>門市</t>
        </is>
      </c>
      <c r="D2" s="2" t="inlineStr">
        <is>
          <t>配件</t>
        </is>
      </c>
      <c r="E2" s="4" t="n">
        <v>2770</v>
      </c>
    </row>
    <row r="3">
      <c r="A3" s="2" t="inlineStr">
        <is>
          <t>S-0002</t>
        </is>
      </c>
      <c r="B3" s="3" t="n">
        <v>46025</v>
      </c>
      <c r="C3" s="2" t="inlineStr">
        <is>
          <t>電商平台</t>
        </is>
      </c>
      <c r="D3" s="2" t="inlineStr">
        <is>
          <t>配件</t>
        </is>
      </c>
      <c r="E3" s="4" t="n">
        <v>7340</v>
      </c>
    </row>
    <row r="4">
      <c r="A4" s="2" t="inlineStr">
        <is>
          <t>S-0003</t>
        </is>
      </c>
      <c r="B4" s="3" t="n">
        <v>46025</v>
      </c>
      <c r="C4" s="2" t="inlineStr">
        <is>
          <t>門市</t>
        </is>
      </c>
      <c r="D4" s="2" t="inlineStr">
        <is>
          <t>音訊</t>
        </is>
      </c>
      <c r="E4" s="4" t="n">
        <v>5960</v>
      </c>
    </row>
    <row r="5">
      <c r="A5" s="2" t="inlineStr">
        <is>
          <t>S-0004</t>
        </is>
      </c>
      <c r="B5" s="3" t="n">
        <v>46027</v>
      </c>
      <c r="C5" s="2" t="inlineStr">
        <is>
          <t>電商平台</t>
        </is>
      </c>
      <c r="D5" s="2" t="inlineStr">
        <is>
          <t>電腦周邊</t>
        </is>
      </c>
      <c r="E5" s="4" t="n">
        <v>4310</v>
      </c>
    </row>
    <row r="6">
      <c r="A6" s="2" t="inlineStr">
        <is>
          <t>S-0005</t>
        </is>
      </c>
      <c r="B6" s="3" t="n">
        <v>46028</v>
      </c>
      <c r="C6" s="2" t="inlineStr">
        <is>
          <t>官網</t>
        </is>
      </c>
      <c r="D6" s="2" t="inlineStr">
        <is>
          <t>配件</t>
        </is>
      </c>
      <c r="E6" s="4" t="n">
        <v>14900</v>
      </c>
    </row>
    <row r="7">
      <c r="A7" s="2" t="inlineStr">
        <is>
          <t>S-0006</t>
        </is>
      </c>
      <c r="B7" s="3" t="n">
        <v>46031</v>
      </c>
      <c r="C7" s="2" t="inlineStr">
        <is>
          <t>門市</t>
        </is>
      </c>
      <c r="D7" s="2" t="inlineStr">
        <is>
          <t>電腦周邊</t>
        </is>
      </c>
      <c r="E7" s="4" t="n">
        <v>7490</v>
      </c>
    </row>
    <row r="8">
      <c r="A8" s="2" t="inlineStr">
        <is>
          <t>S-0007</t>
        </is>
      </c>
      <c r="B8" s="3" t="n">
        <v>46033</v>
      </c>
      <c r="C8" s="2" t="inlineStr">
        <is>
          <t>官網</t>
        </is>
      </c>
      <c r="D8" s="2" t="inlineStr">
        <is>
          <t>配件</t>
        </is>
      </c>
      <c r="E8" s="4" t="n">
        <v>10790</v>
      </c>
    </row>
    <row r="9">
      <c r="A9" s="2" t="inlineStr">
        <is>
          <t>S-0008</t>
        </is>
      </c>
      <c r="B9" s="3" t="n">
        <v>46035</v>
      </c>
      <c r="C9" s="2" t="inlineStr">
        <is>
          <t>官網</t>
        </is>
      </c>
      <c r="D9" s="2" t="inlineStr">
        <is>
          <t>電腦周邊</t>
        </is>
      </c>
      <c r="E9" s="4" t="n">
        <v>2580</v>
      </c>
    </row>
    <row r="10">
      <c r="A10" s="2" t="inlineStr">
        <is>
          <t>S-0009</t>
        </is>
      </c>
      <c r="B10" s="3" t="n">
        <v>46035</v>
      </c>
      <c r="C10" s="2" t="inlineStr">
        <is>
          <t>門市</t>
        </is>
      </c>
      <c r="D10" s="2" t="inlineStr">
        <is>
          <t>電腦周邊</t>
        </is>
      </c>
      <c r="E10" s="4" t="n">
        <v>10570</v>
      </c>
    </row>
    <row r="11">
      <c r="A11" s="2" t="inlineStr">
        <is>
          <t>S-0010</t>
        </is>
      </c>
      <c r="B11" s="3" t="n">
        <v>46036</v>
      </c>
      <c r="C11" s="2" t="inlineStr">
        <is>
          <t>門市</t>
        </is>
      </c>
      <c r="D11" s="2" t="inlineStr">
        <is>
          <t>電腦周邊</t>
        </is>
      </c>
      <c r="E11" s="4" t="n">
        <v>3710</v>
      </c>
    </row>
    <row r="12">
      <c r="A12" s="2" t="inlineStr">
        <is>
          <t>S-0011</t>
        </is>
      </c>
      <c r="B12" s="3" t="n">
        <v>46037</v>
      </c>
      <c r="C12" s="2" t="inlineStr">
        <is>
          <t>官網</t>
        </is>
      </c>
      <c r="D12" s="2" t="inlineStr">
        <is>
          <t>音訊</t>
        </is>
      </c>
      <c r="E12" s="4" t="n">
        <v>13050</v>
      </c>
    </row>
    <row r="13">
      <c r="A13" s="2" t="inlineStr">
        <is>
          <t>S-0012</t>
        </is>
      </c>
      <c r="B13" s="3" t="n">
        <v>46044</v>
      </c>
      <c r="C13" s="2" t="inlineStr">
        <is>
          <t>電商平台</t>
        </is>
      </c>
      <c r="D13" s="2" t="inlineStr">
        <is>
          <t>音訊</t>
        </is>
      </c>
      <c r="E13" s="4" t="n">
        <v>5090</v>
      </c>
    </row>
    <row r="14">
      <c r="A14" s="2" t="inlineStr">
        <is>
          <t>S-0013</t>
        </is>
      </c>
      <c r="B14" s="3" t="n">
        <v>46045</v>
      </c>
      <c r="C14" s="2" t="inlineStr">
        <is>
          <t>電商平台</t>
        </is>
      </c>
      <c r="D14" s="2" t="inlineStr">
        <is>
          <t>音訊</t>
        </is>
      </c>
      <c r="E14" s="4" t="n">
        <v>1330</v>
      </c>
    </row>
    <row r="15">
      <c r="A15" s="2" t="inlineStr">
        <is>
          <t>S-0014</t>
        </is>
      </c>
      <c r="B15" s="3" t="n">
        <v>46045</v>
      </c>
      <c r="C15" s="2" t="inlineStr">
        <is>
          <t>官網</t>
        </is>
      </c>
      <c r="D15" s="2" t="inlineStr">
        <is>
          <t>電腦周邊</t>
        </is>
      </c>
      <c r="E15" s="4" t="n">
        <v>600</v>
      </c>
    </row>
    <row r="16">
      <c r="A16" s="2" t="inlineStr">
        <is>
          <t>S-0015</t>
        </is>
      </c>
      <c r="B16" s="3" t="n">
        <v>46050</v>
      </c>
      <c r="C16" s="2" t="inlineStr">
        <is>
          <t>門市</t>
        </is>
      </c>
      <c r="D16" s="2" t="inlineStr">
        <is>
          <t>配件</t>
        </is>
      </c>
      <c r="E16" s="4" t="n">
        <v>12590</v>
      </c>
    </row>
    <row r="17">
      <c r="A17" s="2" t="inlineStr">
        <is>
          <t>S-0016</t>
        </is>
      </c>
      <c r="B17" s="3" t="n">
        <v>46055</v>
      </c>
      <c r="C17" s="2" t="inlineStr">
        <is>
          <t>電商平台</t>
        </is>
      </c>
      <c r="D17" s="2" t="inlineStr">
        <is>
          <t>音訊</t>
        </is>
      </c>
      <c r="E17" s="4" t="n">
        <v>2980</v>
      </c>
    </row>
    <row r="18">
      <c r="A18" s="2" t="inlineStr">
        <is>
          <t>S-0017</t>
        </is>
      </c>
      <c r="B18" s="3" t="n">
        <v>46055</v>
      </c>
      <c r="C18" s="2" t="inlineStr">
        <is>
          <t>電商平台</t>
        </is>
      </c>
      <c r="D18" s="2" t="inlineStr">
        <is>
          <t>配件</t>
        </is>
      </c>
      <c r="E18" s="4" t="n">
        <v>7990</v>
      </c>
    </row>
    <row r="19">
      <c r="A19" s="2" t="inlineStr">
        <is>
          <t>S-0018</t>
        </is>
      </c>
      <c r="B19" s="3" t="n">
        <v>46056</v>
      </c>
      <c r="C19" s="2" t="inlineStr">
        <is>
          <t>電商平台</t>
        </is>
      </c>
      <c r="D19" s="2" t="inlineStr">
        <is>
          <t>電腦周邊</t>
        </is>
      </c>
      <c r="E19" s="4" t="n">
        <v>3220</v>
      </c>
    </row>
    <row r="20">
      <c r="A20" s="2" t="inlineStr">
        <is>
          <t>S-0019</t>
        </is>
      </c>
      <c r="B20" s="3" t="n">
        <v>46060</v>
      </c>
      <c r="C20" s="2" t="inlineStr">
        <is>
          <t>官網</t>
        </is>
      </c>
      <c r="D20" s="2" t="inlineStr">
        <is>
          <t>電腦周邊</t>
        </is>
      </c>
      <c r="E20" s="4" t="n">
        <v>4650</v>
      </c>
    </row>
    <row r="21">
      <c r="A21" s="2" t="inlineStr">
        <is>
          <t>S-0020</t>
        </is>
      </c>
      <c r="B21" s="3" t="n">
        <v>46061</v>
      </c>
      <c r="C21" s="2" t="inlineStr">
        <is>
          <t>電商平台</t>
        </is>
      </c>
      <c r="D21" s="2" t="inlineStr">
        <is>
          <t>電腦周邊</t>
        </is>
      </c>
      <c r="E21" s="4" t="n">
        <v>9190</v>
      </c>
    </row>
    <row r="22">
      <c r="A22" s="2" t="inlineStr">
        <is>
          <t>S-0021</t>
        </is>
      </c>
      <c r="B22" s="3" t="n">
        <v>46061</v>
      </c>
      <c r="C22" s="2" t="inlineStr">
        <is>
          <t>電商平台</t>
        </is>
      </c>
      <c r="D22" s="2" t="inlineStr">
        <is>
          <t>配件</t>
        </is>
      </c>
      <c r="E22" s="4" t="n">
        <v>3810</v>
      </c>
    </row>
    <row r="23">
      <c r="A23" s="2" t="inlineStr">
        <is>
          <t>S-0022</t>
        </is>
      </c>
      <c r="B23" s="3" t="n">
        <v>46066</v>
      </c>
      <c r="C23" s="2" t="inlineStr">
        <is>
          <t>電商平台</t>
        </is>
      </c>
      <c r="D23" s="2" t="inlineStr">
        <is>
          <t>電腦周邊</t>
        </is>
      </c>
      <c r="E23" s="4" t="n">
        <v>4430</v>
      </c>
    </row>
    <row r="24">
      <c r="A24" s="2" t="inlineStr">
        <is>
          <t>S-0023</t>
        </is>
      </c>
      <c r="B24" s="3" t="n">
        <v>46070</v>
      </c>
      <c r="C24" s="2" t="inlineStr">
        <is>
          <t>電商平台</t>
        </is>
      </c>
      <c r="D24" s="2" t="inlineStr">
        <is>
          <t>音訊</t>
        </is>
      </c>
      <c r="E24" s="4" t="n">
        <v>2230</v>
      </c>
    </row>
    <row r="25">
      <c r="A25" s="2" t="inlineStr">
        <is>
          <t>S-0024</t>
        </is>
      </c>
      <c r="B25" s="3" t="n">
        <v>46071</v>
      </c>
      <c r="C25" s="2" t="inlineStr">
        <is>
          <t>官網</t>
        </is>
      </c>
      <c r="D25" s="2" t="inlineStr">
        <is>
          <t>電腦周邊</t>
        </is>
      </c>
      <c r="E25" s="4" t="n">
        <v>4550</v>
      </c>
    </row>
    <row r="26">
      <c r="A26" s="2" t="inlineStr">
        <is>
          <t>S-0025</t>
        </is>
      </c>
      <c r="B26" s="3" t="n">
        <v>46071</v>
      </c>
      <c r="C26" s="2" t="inlineStr">
        <is>
          <t>電商平台</t>
        </is>
      </c>
      <c r="D26" s="2" t="inlineStr">
        <is>
          <t>電腦周邊</t>
        </is>
      </c>
      <c r="E26" s="4" t="n">
        <v>14490</v>
      </c>
    </row>
    <row r="27">
      <c r="A27" s="2" t="inlineStr">
        <is>
          <t>S-0026</t>
        </is>
      </c>
      <c r="B27" s="3" t="n">
        <v>46072</v>
      </c>
      <c r="C27" s="2" t="inlineStr">
        <is>
          <t>電商平台</t>
        </is>
      </c>
      <c r="D27" s="2" t="inlineStr">
        <is>
          <t>電腦周邊</t>
        </is>
      </c>
      <c r="E27" s="4" t="n">
        <v>12070</v>
      </c>
    </row>
    <row r="28">
      <c r="A28" s="2" t="inlineStr">
        <is>
          <t>S-0027</t>
        </is>
      </c>
      <c r="B28" s="3" t="n">
        <v>46073</v>
      </c>
      <c r="C28" s="2" t="inlineStr">
        <is>
          <t>門市</t>
        </is>
      </c>
      <c r="D28" s="2" t="inlineStr">
        <is>
          <t>配件</t>
        </is>
      </c>
      <c r="E28" s="4" t="n">
        <v>570</v>
      </c>
    </row>
    <row r="29">
      <c r="A29" s="2" t="inlineStr">
        <is>
          <t>S-0028</t>
        </is>
      </c>
      <c r="B29" s="3" t="n">
        <v>46073</v>
      </c>
      <c r="C29" s="2" t="inlineStr">
        <is>
          <t>門市</t>
        </is>
      </c>
      <c r="D29" s="2" t="inlineStr">
        <is>
          <t>音訊</t>
        </is>
      </c>
      <c r="E29" s="4" t="n">
        <v>1340</v>
      </c>
    </row>
    <row r="30">
      <c r="A30" s="2" t="inlineStr">
        <is>
          <t>S-0029</t>
        </is>
      </c>
      <c r="B30" s="3" t="n">
        <v>46076</v>
      </c>
      <c r="C30" s="2" t="inlineStr">
        <is>
          <t>門市</t>
        </is>
      </c>
      <c r="D30" s="2" t="inlineStr">
        <is>
          <t>電腦周邊</t>
        </is>
      </c>
      <c r="E30" s="4" t="n">
        <v>12370</v>
      </c>
    </row>
    <row r="31">
      <c r="A31" s="2" t="inlineStr">
        <is>
          <t>S-0030</t>
        </is>
      </c>
      <c r="B31" s="3" t="n">
        <v>46077</v>
      </c>
      <c r="C31" s="2" t="inlineStr">
        <is>
          <t>電商平台</t>
        </is>
      </c>
      <c r="D31" s="2" t="inlineStr">
        <is>
          <t>配件</t>
        </is>
      </c>
      <c r="E31" s="4" t="n">
        <v>5990</v>
      </c>
    </row>
    <row r="32">
      <c r="A32" s="2" t="inlineStr">
        <is>
          <t>S-0031</t>
        </is>
      </c>
      <c r="B32" s="3" t="n">
        <v>46084</v>
      </c>
      <c r="C32" s="2" t="inlineStr">
        <is>
          <t>電商平台</t>
        </is>
      </c>
      <c r="D32" s="2" t="inlineStr">
        <is>
          <t>電腦周邊</t>
        </is>
      </c>
      <c r="E32" s="4" t="n">
        <v>9200</v>
      </c>
    </row>
    <row r="33">
      <c r="A33" s="2" t="inlineStr">
        <is>
          <t>S-0032</t>
        </is>
      </c>
      <c r="B33" s="3" t="n">
        <v>46085</v>
      </c>
      <c r="C33" s="2" t="inlineStr">
        <is>
          <t>電商平台</t>
        </is>
      </c>
      <c r="D33" s="2" t="inlineStr">
        <is>
          <t>音訊</t>
        </is>
      </c>
      <c r="E33" s="4" t="n">
        <v>8710</v>
      </c>
    </row>
    <row r="34">
      <c r="A34" s="2" t="inlineStr">
        <is>
          <t>S-0033</t>
        </is>
      </c>
      <c r="B34" s="3" t="n">
        <v>46088</v>
      </c>
      <c r="C34" s="2" t="inlineStr">
        <is>
          <t>電商平台</t>
        </is>
      </c>
      <c r="D34" s="2" t="inlineStr">
        <is>
          <t>電腦周邊</t>
        </is>
      </c>
      <c r="E34" s="4" t="n">
        <v>12260</v>
      </c>
    </row>
    <row r="35">
      <c r="A35" s="2" t="inlineStr">
        <is>
          <t>S-0034</t>
        </is>
      </c>
      <c r="B35" s="3" t="n">
        <v>46091</v>
      </c>
      <c r="C35" s="2" t="inlineStr">
        <is>
          <t>官網</t>
        </is>
      </c>
      <c r="D35" s="2" t="inlineStr">
        <is>
          <t>電腦周邊</t>
        </is>
      </c>
      <c r="E35" s="4" t="n">
        <v>13390</v>
      </c>
    </row>
    <row r="36">
      <c r="A36" s="2" t="inlineStr">
        <is>
          <t>S-0035</t>
        </is>
      </c>
      <c r="B36" s="3" t="n">
        <v>46093</v>
      </c>
      <c r="C36" s="2" t="inlineStr">
        <is>
          <t>門市</t>
        </is>
      </c>
      <c r="D36" s="2" t="inlineStr">
        <is>
          <t>音訊</t>
        </is>
      </c>
      <c r="E36" s="4" t="n">
        <v>9740</v>
      </c>
    </row>
    <row r="37">
      <c r="A37" s="2" t="inlineStr">
        <is>
          <t>S-0036</t>
        </is>
      </c>
      <c r="B37" s="3" t="n">
        <v>46093</v>
      </c>
      <c r="C37" s="2" t="inlineStr">
        <is>
          <t>電商平台</t>
        </is>
      </c>
      <c r="D37" s="2" t="inlineStr">
        <is>
          <t>配件</t>
        </is>
      </c>
      <c r="E37" s="4" t="n">
        <v>5580</v>
      </c>
    </row>
    <row r="38">
      <c r="A38" s="2" t="inlineStr">
        <is>
          <t>S-0037</t>
        </is>
      </c>
      <c r="B38" s="3" t="n">
        <v>46094</v>
      </c>
      <c r="C38" s="2" t="inlineStr">
        <is>
          <t>官網</t>
        </is>
      </c>
      <c r="D38" s="2" t="inlineStr">
        <is>
          <t>電腦周邊</t>
        </is>
      </c>
      <c r="E38" s="4" t="n">
        <v>12940</v>
      </c>
    </row>
    <row r="39">
      <c r="A39" s="2" t="inlineStr">
        <is>
          <t>S-0038</t>
        </is>
      </c>
      <c r="B39" s="3" t="n">
        <v>46095</v>
      </c>
      <c r="C39" s="2" t="inlineStr">
        <is>
          <t>門市</t>
        </is>
      </c>
      <c r="D39" s="2" t="inlineStr">
        <is>
          <t>電腦周邊</t>
        </is>
      </c>
      <c r="E39" s="4" t="n">
        <v>2780</v>
      </c>
    </row>
    <row r="40">
      <c r="A40" s="2" t="inlineStr">
        <is>
          <t>S-0039</t>
        </is>
      </c>
      <c r="B40" s="3" t="n">
        <v>46096</v>
      </c>
      <c r="C40" s="2" t="inlineStr">
        <is>
          <t>官網</t>
        </is>
      </c>
      <c r="D40" s="2" t="inlineStr">
        <is>
          <t>電腦周邊</t>
        </is>
      </c>
      <c r="E40" s="4" t="n">
        <v>6020</v>
      </c>
    </row>
    <row r="41">
      <c r="A41" s="2" t="inlineStr">
        <is>
          <t>S-0040</t>
        </is>
      </c>
      <c r="B41" s="3" t="n">
        <v>46098</v>
      </c>
      <c r="C41" s="2" t="inlineStr">
        <is>
          <t>門市</t>
        </is>
      </c>
      <c r="D41" s="2" t="inlineStr">
        <is>
          <t>音訊</t>
        </is>
      </c>
      <c r="E41" s="4" t="n">
        <v>1620</v>
      </c>
    </row>
    <row r="42">
      <c r="A42" s="2" t="inlineStr">
        <is>
          <t>S-0041</t>
        </is>
      </c>
      <c r="B42" s="3" t="n">
        <v>46103</v>
      </c>
      <c r="C42" s="2" t="inlineStr">
        <is>
          <t>門市</t>
        </is>
      </c>
      <c r="D42" s="2" t="inlineStr">
        <is>
          <t>配件</t>
        </is>
      </c>
      <c r="E42" s="4" t="n">
        <v>6440</v>
      </c>
    </row>
    <row r="43">
      <c r="A43" s="2" t="inlineStr">
        <is>
          <t>S-0042</t>
        </is>
      </c>
      <c r="B43" s="3" t="n">
        <v>46106</v>
      </c>
      <c r="C43" s="2" t="inlineStr">
        <is>
          <t>官網</t>
        </is>
      </c>
      <c r="D43" s="2" t="inlineStr">
        <is>
          <t>音訊</t>
        </is>
      </c>
      <c r="E43" s="4" t="n">
        <v>11970</v>
      </c>
    </row>
    <row r="44">
      <c r="A44" s="2" t="inlineStr">
        <is>
          <t>S-0043</t>
        </is>
      </c>
      <c r="B44" s="3" t="n">
        <v>46108</v>
      </c>
      <c r="C44" s="2" t="inlineStr">
        <is>
          <t>門市</t>
        </is>
      </c>
      <c r="D44" s="2" t="inlineStr">
        <is>
          <t>電腦周邊</t>
        </is>
      </c>
      <c r="E44" s="4" t="n">
        <v>5800</v>
      </c>
    </row>
    <row r="45">
      <c r="A45" s="2" t="inlineStr">
        <is>
          <t>S-0044</t>
        </is>
      </c>
      <c r="B45" s="3" t="n">
        <v>46109</v>
      </c>
      <c r="C45" s="2" t="inlineStr">
        <is>
          <t>門市</t>
        </is>
      </c>
      <c r="D45" s="2" t="inlineStr">
        <is>
          <t>配件</t>
        </is>
      </c>
      <c r="E45" s="4" t="n">
        <v>7610</v>
      </c>
    </row>
    <row r="46">
      <c r="A46" s="2" t="inlineStr">
        <is>
          <t>S-0045</t>
        </is>
      </c>
      <c r="B46" s="3" t="n">
        <v>46109</v>
      </c>
      <c r="C46" s="2" t="inlineStr">
        <is>
          <t>官網</t>
        </is>
      </c>
      <c r="D46" s="2" t="inlineStr">
        <is>
          <t>電腦周邊</t>
        </is>
      </c>
      <c r="E46" s="4" t="n">
        <v>11970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通路</t>
        </is>
      </c>
      <c r="B1" s="1" t="inlineStr">
        <is>
          <t>訂單筆數</t>
        </is>
      </c>
      <c r="C1" s="1" t="inlineStr">
        <is>
          <t>銷售金額</t>
        </is>
      </c>
      <c r="D1" s="1" t="inlineStr">
        <is>
          <t>平均客單價</t>
        </is>
      </c>
    </row>
    <row r="2">
      <c r="A2" s="5" t="inlineStr">
        <is>
          <t>門市</t>
        </is>
      </c>
      <c r="B2">
        <f>COUNTIFS(T_Sales[通路],$A2)</f>
        <v/>
      </c>
      <c r="C2" s="6">
        <f>SUMIFS(T_Sales[銷售金額],T_Sales[通路],$A2)</f>
        <v/>
      </c>
      <c r="D2" s="6">
        <f>IF(B2=0,0,ROUND(C2/B2,0))</f>
        <v/>
      </c>
    </row>
    <row r="3">
      <c r="A3" s="5" t="inlineStr">
        <is>
          <t>官網</t>
        </is>
      </c>
      <c r="B3">
        <f>COUNTIFS(T_Sales[通路],$A3)</f>
        <v/>
      </c>
      <c r="C3" s="6">
        <f>SUMIFS(T_Sales[銷售金額],T_Sales[通路],$A3)</f>
        <v/>
      </c>
      <c r="D3" s="6">
        <f>IF(B3=0,0,ROUND(C3/B3,0))</f>
        <v/>
      </c>
    </row>
    <row r="4">
      <c r="A4" s="5" t="inlineStr">
        <is>
          <t>電商平台</t>
        </is>
      </c>
      <c r="B4">
        <f>COUNTIFS(T_Sales[通路],$A4)</f>
        <v/>
      </c>
      <c r="C4" s="6">
        <f>SUMIFS(T_Sales[銷售金額],T_Sales[通路],$A4)</f>
        <v/>
      </c>
      <c r="D4" s="6">
        <f>IF(B4=0,0,ROUND(C4/B4,0))</f>
        <v/>
      </c>
    </row>
    <row r="5">
      <c r="A5" s="7" t="inlineStr">
        <is>
          <t>合計</t>
        </is>
      </c>
      <c r="B5">
        <f>SUM(B2:B4)</f>
        <v/>
      </c>
      <c r="C5" s="6">
        <f>SUM(C2:C4)</f>
        <v/>
      </c>
      <c r="D5" s="6">
        <f>IF(B5=0,0,ROUND(C5/B5,0))</f>
        <v/>
      </c>
    </row>
    <row r="7">
      <c r="A7" s="5" t="inlineStr">
        <is>
          <t>各通路每月銷售金額（SUMIFS 多條件加總）</t>
        </is>
      </c>
    </row>
    <row r="8">
      <c r="A8" s="1" t="inlineStr">
        <is>
          <t>通路＼月份</t>
        </is>
      </c>
      <c r="B8" s="8" t="n">
        <v>46023</v>
      </c>
      <c r="C8" s="8" t="n">
        <v>46054</v>
      </c>
      <c r="D8" s="8" t="n">
        <v>46082</v>
      </c>
      <c r="E8" s="1" t="inlineStr">
        <is>
          <t>合計</t>
        </is>
      </c>
    </row>
    <row r="9">
      <c r="A9" s="5" t="inlineStr">
        <is>
          <t>門市</t>
        </is>
      </c>
      <c r="B9" s="6">
        <f>SUMIFS(T_Sales[銷售金額],T_Sales[通路],$A9,T_Sales[訂單日期],"&gt;="&amp;B$8,T_Sales[訂單日期],"&lt;"&amp;EDATE(B$8,1))</f>
        <v/>
      </c>
      <c r="C9" s="6">
        <f>SUMIFS(T_Sales[銷售金額],T_Sales[通路],$A9,T_Sales[訂單日期],"&gt;="&amp;C$8,T_Sales[訂單日期],"&lt;"&amp;EDATE(C$8,1))</f>
        <v/>
      </c>
      <c r="D9" s="6">
        <f>SUMIFS(T_Sales[銷售金額],T_Sales[通路],$A9,T_Sales[訂單日期],"&gt;="&amp;D$8,T_Sales[訂單日期],"&lt;"&amp;EDATE(D$8,1))</f>
        <v/>
      </c>
      <c r="E9" s="6">
        <f>SUM(B9:D9)</f>
        <v/>
      </c>
    </row>
    <row r="10">
      <c r="A10" s="5" t="inlineStr">
        <is>
          <t>官網</t>
        </is>
      </c>
      <c r="B10" s="6">
        <f>SUMIFS(T_Sales[銷售金額],T_Sales[通路],$A10,T_Sales[訂單日期],"&gt;="&amp;B$8,T_Sales[訂單日期],"&lt;"&amp;EDATE(B$8,1))</f>
        <v/>
      </c>
      <c r="C10" s="6">
        <f>SUMIFS(T_Sales[銷售金額],T_Sales[通路],$A10,T_Sales[訂單日期],"&gt;="&amp;C$8,T_Sales[訂單日期],"&lt;"&amp;EDATE(C$8,1))</f>
        <v/>
      </c>
      <c r="D10" s="6">
        <f>SUMIFS(T_Sales[銷售金額],T_Sales[通路],$A10,T_Sales[訂單日期],"&gt;="&amp;D$8,T_Sales[訂單日期],"&lt;"&amp;EDATE(D$8,1))</f>
        <v/>
      </c>
      <c r="E10" s="6">
        <f>SUM(B10:D10)</f>
        <v/>
      </c>
    </row>
    <row r="11">
      <c r="A11" s="5" t="inlineStr">
        <is>
          <t>電商平台</t>
        </is>
      </c>
      <c r="B11" s="6">
        <f>SUMIFS(T_Sales[銷售金額],T_Sales[通路],$A11,T_Sales[訂單日期],"&gt;="&amp;B$8,T_Sales[訂單日期],"&lt;"&amp;EDATE(B$8,1))</f>
        <v/>
      </c>
      <c r="C11" s="6">
        <f>SUMIFS(T_Sales[銷售金額],T_Sales[通路],$A11,T_Sales[訂單日期],"&gt;="&amp;C$8,T_Sales[訂單日期],"&lt;"&amp;EDATE(C$8,1))</f>
        <v/>
      </c>
      <c r="D11" s="6">
        <f>SUMIFS(T_Sales[銷售金額],T_Sales[通路],$A11,T_Sales[訂單日期],"&gt;="&amp;D$8,T_Sales[訂單日期],"&lt;"&amp;EDATE(D$8,1))</f>
        <v/>
      </c>
      <c r="E11" s="6">
        <f>SUM(B11:D11)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2026-10-24T07:41:57Z</dcterms:created>
  <dcterms:modified xsi:type="dcterms:W3CDTF">2026-10-24T07:41:57Z</dcterms:modified>
</cp:coreProperties>
</file>