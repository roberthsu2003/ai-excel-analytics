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績" sheetId="1" state="visible" r:id="rId1"/>
    <sheet name="各科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</font>
    <font>
      <name val="Microsoft JhengHei"/>
      <b val="1"/>
    </font>
    <font>
      <name val="Microsoft JhengHei"/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</cols>
  <sheetData>
    <row r="1">
      <c r="A1" s="1" t="inlineStr">
        <is>
          <t>座號</t>
        </is>
      </c>
      <c r="B1" s="1" t="inlineStr">
        <is>
          <t>姓名</t>
        </is>
      </c>
      <c r="C1" s="1" t="inlineStr">
        <is>
          <t>國文</t>
        </is>
      </c>
      <c r="D1" s="1" t="inlineStr">
        <is>
          <t>英文</t>
        </is>
      </c>
      <c r="E1" s="1" t="inlineStr">
        <is>
          <t>數學</t>
        </is>
      </c>
      <c r="F1" s="1" t="inlineStr">
        <is>
          <t>總分</t>
        </is>
      </c>
      <c r="G1" s="1" t="inlineStr">
        <is>
          <t>平均</t>
        </is>
      </c>
      <c r="H1" s="1" t="inlineStr">
        <is>
          <t>已考科數</t>
        </is>
      </c>
    </row>
    <row r="2">
      <c r="A2" s="2" t="inlineStr">
        <is>
          <t>01</t>
        </is>
      </c>
      <c r="B2" s="3" t="inlineStr">
        <is>
          <t>陳怡君</t>
        </is>
      </c>
      <c r="C2" s="3" t="n">
        <v>82</v>
      </c>
      <c r="D2" s="3" t="n">
        <v>76</v>
      </c>
      <c r="E2" s="3" t="n">
        <v>91</v>
      </c>
      <c r="F2" s="3">
        <f>SUM(C2:E2)</f>
        <v/>
      </c>
      <c r="G2" s="4">
        <f>ROUND(AVERAGE(C2:E2),1)</f>
        <v/>
      </c>
      <c r="H2" s="3">
        <f>COUNT(C2:E2)</f>
        <v/>
      </c>
    </row>
    <row r="3">
      <c r="A3" s="2" t="inlineStr">
        <is>
          <t>02</t>
        </is>
      </c>
      <c r="B3" s="3" t="inlineStr">
        <is>
          <t>林家豪</t>
        </is>
      </c>
      <c r="C3" s="3" t="n">
        <v>68</v>
      </c>
      <c r="D3" s="3" t="n">
        <v>72</v>
      </c>
      <c r="E3" s="3" t="n">
        <v>55</v>
      </c>
      <c r="F3" s="3">
        <f>SUM(C3:E3)</f>
        <v/>
      </c>
      <c r="G3" s="4">
        <f>ROUND(AVERAGE(C3:E3),1)</f>
        <v/>
      </c>
      <c r="H3" s="3">
        <f>COUNT(C3:E3)</f>
        <v/>
      </c>
    </row>
    <row r="4">
      <c r="A4" s="2" t="inlineStr">
        <is>
          <t>03</t>
        </is>
      </c>
      <c r="B4" s="3" t="inlineStr">
        <is>
          <t>黃詩涵</t>
        </is>
      </c>
      <c r="C4" s="3" t="n">
        <v>90</v>
      </c>
      <c r="D4" s="3" t="n">
        <v>88</v>
      </c>
      <c r="E4" s="3" t="n">
        <v>84</v>
      </c>
      <c r="F4" s="3">
        <f>SUM(C4:E4)</f>
        <v/>
      </c>
      <c r="G4" s="4">
        <f>ROUND(AVERAGE(C4:E4),1)</f>
        <v/>
      </c>
      <c r="H4" s="3">
        <f>COUNT(C4:E4)</f>
        <v/>
      </c>
    </row>
    <row r="5">
      <c r="A5" s="2" t="inlineStr">
        <is>
          <t>04</t>
        </is>
      </c>
      <c r="B5" s="3" t="inlineStr">
        <is>
          <t>張志明</t>
        </is>
      </c>
      <c r="C5" s="3" t="n">
        <v>74</v>
      </c>
      <c r="D5" s="3" t="n"/>
      <c r="E5" s="3" t="n">
        <v>63</v>
      </c>
      <c r="F5" s="3">
        <f>SUM(C5:E5)</f>
        <v/>
      </c>
      <c r="G5" s="4">
        <f>ROUND(AVERAGE(C5:E5),1)</f>
        <v/>
      </c>
      <c r="H5" s="3">
        <f>COUNT(C5:E5)</f>
        <v/>
      </c>
    </row>
    <row r="6">
      <c r="A6" s="2" t="inlineStr">
        <is>
          <t>05</t>
        </is>
      </c>
      <c r="B6" s="3" t="inlineStr">
        <is>
          <t>李宜蓁</t>
        </is>
      </c>
      <c r="C6" s="3" t="n">
        <v>88</v>
      </c>
      <c r="D6" s="3" t="n">
        <v>93</v>
      </c>
      <c r="E6" s="3" t="n">
        <v>79</v>
      </c>
      <c r="F6" s="3">
        <f>SUM(C6:E6)</f>
        <v/>
      </c>
      <c r="G6" s="4">
        <f>ROUND(AVERAGE(C6:E6),1)</f>
        <v/>
      </c>
      <c r="H6" s="3">
        <f>COUNT(C6:E6)</f>
        <v/>
      </c>
    </row>
    <row r="7">
      <c r="A7" s="2" t="inlineStr">
        <is>
          <t>06</t>
        </is>
      </c>
      <c r="B7" s="3" t="inlineStr">
        <is>
          <t>王俊傑</t>
        </is>
      </c>
      <c r="C7" s="3" t="n">
        <v>59</v>
      </c>
      <c r="D7" s="3" t="n">
        <v>64</v>
      </c>
      <c r="E7" s="3" t="n">
        <v>71</v>
      </c>
      <c r="F7" s="3">
        <f>SUM(C7:E7)</f>
        <v/>
      </c>
      <c r="G7" s="4">
        <f>ROUND(AVERAGE(C7:E7),1)</f>
        <v/>
      </c>
      <c r="H7" s="3">
        <f>COUNT(C7:E7)</f>
        <v/>
      </c>
    </row>
    <row r="8">
      <c r="A8" s="2" t="inlineStr">
        <is>
          <t>07</t>
        </is>
      </c>
      <c r="B8" s="3" t="inlineStr">
        <is>
          <t>吳佩珊</t>
        </is>
      </c>
      <c r="C8" s="3" t="n">
        <v>95</v>
      </c>
      <c r="D8" s="3" t="n">
        <v>89</v>
      </c>
      <c r="E8" s="3" t="n">
        <v>92</v>
      </c>
      <c r="F8" s="3">
        <f>SUM(C8:E8)</f>
        <v/>
      </c>
      <c r="G8" s="4">
        <f>ROUND(AVERAGE(C8:E8),1)</f>
        <v/>
      </c>
      <c r="H8" s="3">
        <f>COUNT(C8:E8)</f>
        <v/>
      </c>
    </row>
    <row r="9">
      <c r="A9" s="2" t="inlineStr">
        <is>
          <t>08</t>
        </is>
      </c>
      <c r="B9" s="3" t="inlineStr">
        <is>
          <t>劉冠廷</t>
        </is>
      </c>
      <c r="C9" s="3" t="n">
        <v>71</v>
      </c>
      <c r="D9" s="3" t="n">
        <v>58</v>
      </c>
      <c r="E9" s="3" t="n">
        <v>66</v>
      </c>
      <c r="F9" s="3">
        <f>SUM(C9:E9)</f>
        <v/>
      </c>
      <c r="G9" s="4">
        <f>ROUND(AVERAGE(C9:E9),1)</f>
        <v/>
      </c>
      <c r="H9" s="3">
        <f>COUNT(C9:E9)</f>
        <v/>
      </c>
    </row>
    <row r="10">
      <c r="A10" s="2" t="inlineStr">
        <is>
          <t>09</t>
        </is>
      </c>
      <c r="B10" s="3" t="inlineStr">
        <is>
          <t>蔡雅婷</t>
        </is>
      </c>
      <c r="C10" s="3" t="n">
        <v>84</v>
      </c>
      <c r="D10" s="3" t="n">
        <v>80</v>
      </c>
      <c r="E10" s="3" t="n">
        <v>88</v>
      </c>
      <c r="F10" s="3">
        <f>SUM(C10:E10)</f>
        <v/>
      </c>
      <c r="G10" s="4">
        <f>ROUND(AVERAGE(C10:E10),1)</f>
        <v/>
      </c>
      <c r="H10" s="3">
        <f>COUNT(C10:E10)</f>
        <v/>
      </c>
    </row>
    <row r="11">
      <c r="A11" s="2" t="inlineStr">
        <is>
          <t>10</t>
        </is>
      </c>
      <c r="B11" s="3" t="inlineStr">
        <is>
          <t>楊承恩</t>
        </is>
      </c>
      <c r="C11" s="3" t="n">
        <v>66</v>
      </c>
      <c r="D11" s="3" t="n">
        <v>70</v>
      </c>
      <c r="E11" s="3" t="n"/>
      <c r="F11" s="3">
        <f>SUM(C11:E11)</f>
        <v/>
      </c>
      <c r="G11" s="4">
        <f>ROUND(AVERAGE(C11:E11),1)</f>
        <v/>
      </c>
      <c r="H11" s="3">
        <f>COUNT(C11:E11)</f>
        <v/>
      </c>
    </row>
    <row r="12">
      <c r="A12" s="2" t="inlineStr">
        <is>
          <t>11</t>
        </is>
      </c>
      <c r="B12" s="3" t="inlineStr">
        <is>
          <t>許書瑜</t>
        </is>
      </c>
      <c r="C12" s="3" t="n">
        <v>77</v>
      </c>
      <c r="D12" s="3" t="n">
        <v>85</v>
      </c>
      <c r="E12" s="3" t="n">
        <v>73</v>
      </c>
      <c r="F12" s="3">
        <f>SUM(C12:E12)</f>
        <v/>
      </c>
      <c r="G12" s="4">
        <f>ROUND(AVERAGE(C12:E12),1)</f>
        <v/>
      </c>
      <c r="H12" s="3">
        <f>COUNT(C12:E12)</f>
        <v/>
      </c>
    </row>
    <row r="13">
      <c r="A13" s="2" t="inlineStr">
        <is>
          <t>12</t>
        </is>
      </c>
      <c r="B13" s="3" t="inlineStr">
        <is>
          <t>鄭宇翔</t>
        </is>
      </c>
      <c r="C13" s="3" t="n">
        <v>62</v>
      </c>
      <c r="D13" s="3" t="n">
        <v>55</v>
      </c>
      <c r="E13" s="3" t="n">
        <v>48</v>
      </c>
      <c r="F13" s="3">
        <f>SUM(C13:E13)</f>
        <v/>
      </c>
      <c r="G13" s="4">
        <f>ROUND(AVERAGE(C13:E13),1)</f>
        <v/>
      </c>
      <c r="H13" s="3">
        <f>COUNT(C13:E13)</f>
        <v/>
      </c>
    </row>
    <row r="14">
      <c r="A14" s="2" t="inlineStr">
        <is>
          <t>13</t>
        </is>
      </c>
      <c r="B14" s="3" t="inlineStr">
        <is>
          <t>謝欣妤</t>
        </is>
      </c>
      <c r="C14" s="3" t="n">
        <v>91</v>
      </c>
      <c r="D14" s="3" t="n">
        <v>94</v>
      </c>
      <c r="E14" s="3" t="n">
        <v>87</v>
      </c>
      <c r="F14" s="3">
        <f>SUM(C14:E14)</f>
        <v/>
      </c>
      <c r="G14" s="4">
        <f>ROUND(AVERAGE(C14:E14),1)</f>
        <v/>
      </c>
      <c r="H14" s="3">
        <f>COUNT(C14:E14)</f>
        <v/>
      </c>
    </row>
    <row r="15">
      <c r="A15" s="2" t="inlineStr">
        <is>
          <t>14</t>
        </is>
      </c>
      <c r="B15" s="3" t="inlineStr">
        <is>
          <t>郭品睿</t>
        </is>
      </c>
      <c r="C15" s="3" t="n">
        <v>80</v>
      </c>
      <c r="D15" s="3" t="n">
        <v>67</v>
      </c>
      <c r="E15" s="3" t="n">
        <v>82</v>
      </c>
      <c r="F15" s="3">
        <f>SUM(C15:E15)</f>
        <v/>
      </c>
      <c r="G15" s="4">
        <f>ROUND(AVERAGE(C15:E15),1)</f>
        <v/>
      </c>
      <c r="H15" s="3">
        <f>COUNT(C15:E15)</f>
        <v/>
      </c>
    </row>
    <row r="16">
      <c r="A16" s="2" t="inlineStr">
        <is>
          <t>15</t>
        </is>
      </c>
      <c r="B16" s="3" t="inlineStr">
        <is>
          <t>洪子晴</t>
        </is>
      </c>
      <c r="C16" s="3" t="n">
        <v>73</v>
      </c>
      <c r="D16" s="3" t="n">
        <v>79</v>
      </c>
      <c r="E16" s="3" t="n">
        <v>69</v>
      </c>
      <c r="F16" s="3">
        <f>SUM(C16:E16)</f>
        <v/>
      </c>
      <c r="G16" s="4">
        <f>ROUND(AVERAGE(C16:E16),1)</f>
        <v/>
      </c>
      <c r="H16" s="3">
        <f>COUNT(C16:E16)</f>
        <v/>
      </c>
    </row>
    <row r="17">
      <c r="A17" s="2" t="inlineStr">
        <is>
          <t>16</t>
        </is>
      </c>
      <c r="B17" s="3" t="inlineStr">
        <is>
          <t>曾柏翰</t>
        </is>
      </c>
      <c r="C17" s="3" t="n">
        <v>57</v>
      </c>
      <c r="D17" s="3" t="n">
        <v>61</v>
      </c>
      <c r="E17" s="3" t="n">
        <v>52</v>
      </c>
      <c r="F17" s="3">
        <f>SUM(C17:E17)</f>
        <v/>
      </c>
      <c r="G17" s="4">
        <f>ROUND(AVERAGE(C17:E17),1)</f>
        <v/>
      </c>
      <c r="H17" s="3">
        <f>COUNT(C17:E17)</f>
        <v/>
      </c>
    </row>
    <row r="18">
      <c r="A18" s="2" t="inlineStr">
        <is>
          <t>17</t>
        </is>
      </c>
      <c r="B18" s="3" t="inlineStr">
        <is>
          <t>邱于庭</t>
        </is>
      </c>
      <c r="C18" s="3" t="n">
        <v>86</v>
      </c>
      <c r="D18" s="3" t="n">
        <v>82</v>
      </c>
      <c r="E18" s="3" t="n">
        <v>90</v>
      </c>
      <c r="F18" s="3">
        <f>SUM(C18:E18)</f>
        <v/>
      </c>
      <c r="G18" s="4">
        <f>ROUND(AVERAGE(C18:E18),1)</f>
        <v/>
      </c>
      <c r="H18" s="3">
        <f>COUNT(C18:E18)</f>
        <v/>
      </c>
    </row>
    <row r="19">
      <c r="A19" s="2" t="inlineStr">
        <is>
          <t>18</t>
        </is>
      </c>
      <c r="B19" s="3" t="inlineStr">
        <is>
          <t>廖哲瑋</t>
        </is>
      </c>
      <c r="C19" s="3" t="n">
        <v>69</v>
      </c>
      <c r="D19" s="3" t="n">
        <v>74</v>
      </c>
      <c r="E19" s="3" t="n">
        <v>77</v>
      </c>
      <c r="F19" s="3">
        <f>SUM(C19:E19)</f>
        <v/>
      </c>
      <c r="G19" s="4">
        <f>ROUND(AVERAGE(C19:E19),1)</f>
        <v/>
      </c>
      <c r="H19" s="3">
        <f>COUNT(C19:E19)</f>
        <v/>
      </c>
    </row>
    <row r="20">
      <c r="A20" s="2" t="inlineStr">
        <is>
          <t>19</t>
        </is>
      </c>
      <c r="B20" s="3" t="inlineStr">
        <is>
          <t>賴思妤</t>
        </is>
      </c>
      <c r="C20" s="3" t="n">
        <v>93</v>
      </c>
      <c r="D20" s="3" t="n">
        <v>90</v>
      </c>
      <c r="E20" s="3" t="n">
        <v>95</v>
      </c>
      <c r="F20" s="3">
        <f>SUM(C20:E20)</f>
        <v/>
      </c>
      <c r="G20" s="4">
        <f>ROUND(AVERAGE(C20:E20),1)</f>
        <v/>
      </c>
      <c r="H20" s="3">
        <f>COUNT(C20:E20)</f>
        <v/>
      </c>
    </row>
    <row r="21">
      <c r="A21" s="2" t="inlineStr">
        <is>
          <t>20</t>
        </is>
      </c>
      <c r="B21" s="3" t="inlineStr">
        <is>
          <t>周彥廷</t>
        </is>
      </c>
      <c r="C21" s="3" t="n">
        <v>78</v>
      </c>
      <c r="D21" s="3" t="n">
        <v>71</v>
      </c>
      <c r="E21" s="3" t="n">
        <v>64</v>
      </c>
      <c r="F21" s="3">
        <f>SUM(C21:E21)</f>
        <v/>
      </c>
      <c r="G21" s="4">
        <f>ROUND(AVERAGE(C21:E21),1)</f>
        <v/>
      </c>
      <c r="H21" s="3">
        <f>COUNT(C21:E21)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22" customWidth="1" min="5" max="5"/>
  </cols>
  <sheetData>
    <row r="1">
      <c r="A1" s="1" t="inlineStr">
        <is>
          <t>統計項目</t>
        </is>
      </c>
      <c r="B1" s="1" t="inlineStr">
        <is>
          <t>國文</t>
        </is>
      </c>
      <c r="C1" s="1" t="inlineStr">
        <is>
          <t>英文</t>
        </is>
      </c>
      <c r="D1" s="1" t="inlineStr">
        <is>
          <t>數學</t>
        </is>
      </c>
      <c r="E1" s="1" t="inlineStr">
        <is>
          <t>使用的函數</t>
        </is>
      </c>
    </row>
    <row r="2">
      <c r="A2" s="5" t="inlineStr">
        <is>
          <t>平均分數</t>
        </is>
      </c>
      <c r="B2" s="4">
        <f>ROUND(AVERAGE('成績'!C2:C21),1)</f>
        <v/>
      </c>
      <c r="C2" s="4">
        <f>ROUND(AVERAGE('成績'!D2:D21),1)</f>
        <v/>
      </c>
      <c r="D2" s="4">
        <f>ROUND(AVERAGE('成績'!E2:E21),1)</f>
        <v/>
      </c>
      <c r="E2" s="6" t="inlineStr">
        <is>
          <t>AVERAGE＋ROUND</t>
        </is>
      </c>
    </row>
    <row r="3">
      <c r="A3" s="5" t="inlineStr">
        <is>
          <t>最高分</t>
        </is>
      </c>
      <c r="B3" s="3">
        <f>MAX('成績'!C2:C21)</f>
        <v/>
      </c>
      <c r="C3" s="3">
        <f>MAX('成績'!D2:D21)</f>
        <v/>
      </c>
      <c r="D3" s="3">
        <f>MAX('成績'!E2:E21)</f>
        <v/>
      </c>
      <c r="E3" s="6" t="inlineStr">
        <is>
          <t>MAX</t>
        </is>
      </c>
    </row>
    <row r="4">
      <c r="A4" s="5" t="inlineStr">
        <is>
          <t>最低分</t>
        </is>
      </c>
      <c r="B4" s="3">
        <f>MIN('成績'!C2:C21)</f>
        <v/>
      </c>
      <c r="C4" s="3">
        <f>MIN('成績'!D2:D21)</f>
        <v/>
      </c>
      <c r="D4" s="3">
        <f>MIN('成績'!E2:E21)</f>
        <v/>
      </c>
      <c r="E4" s="6" t="inlineStr">
        <is>
          <t>MIN</t>
        </is>
      </c>
    </row>
    <row r="5">
      <c r="A5" s="5" t="inlineStr">
        <is>
          <t>應考人數</t>
        </is>
      </c>
      <c r="B5" s="3">
        <f>COUNT('成績'!C2:C21)</f>
        <v/>
      </c>
      <c r="C5" s="3">
        <f>COUNT('成績'!D2:D21)</f>
        <v/>
      </c>
      <c r="D5" s="3">
        <f>COUNT('成績'!E2:E21)</f>
        <v/>
      </c>
      <c r="E5" s="6" t="inlineStr">
        <is>
          <t>COUNT（只數數字）</t>
        </is>
      </c>
    </row>
    <row r="6">
      <c r="A6" s="5" t="inlineStr">
        <is>
          <t>全班人數</t>
        </is>
      </c>
      <c r="B6" s="3">
        <f>COUNTA('成績'!B2:B21)</f>
        <v/>
      </c>
      <c r="C6" s="3">
        <f>COUNTA('成績'!B2:B21)</f>
        <v/>
      </c>
      <c r="D6" s="3">
        <f>COUNTA('成績'!B2:B21)</f>
        <v/>
      </c>
      <c r="E6" s="6" t="inlineStr">
        <is>
          <t>COUNTA（數非空白）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2026-10-24T07:41:57Z</dcterms:created>
  <dcterms:modified xsi:type="dcterms:W3CDTF">2026-10-24T07:41:57Z</dcterms:modified>
</cp:coreProperties>
</file>