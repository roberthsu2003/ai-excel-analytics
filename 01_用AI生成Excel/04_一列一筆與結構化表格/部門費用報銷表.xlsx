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銷明細" sheetId="1" state="visible" r:id="rId1"/>
    <sheet name="報銷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b val="1"/>
    </font>
    <font>
      <name val="Microsoft JhengHei"/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3" fontId="2" fillId="0" borderId="0" pivotButton="0" quotePrefix="0" xfId="0"/>
    <xf numFmtId="0" fontId="3" fillId="0" borderId="0" pivotButton="0" quotePrefix="0" xfId="0"/>
    <xf numFmtId="1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Expense" displayName="T_Expense" ref="A1:K11" headerRowCount="1">
  <autoFilter ref="A1:K11"/>
  <tableColumns count="11">
    <tableColumn id="1" name="報銷序號"/>
    <tableColumn id="2" name="報銷日期"/>
    <tableColumn id="3" name="申請部門"/>
    <tableColumn id="4" name="申請人"/>
    <tableColumn id="5" name="費用類別"/>
    <tableColumn id="6" name="支出項目說明"/>
    <tableColumn id="7" name="單價"/>
    <tableColumn id="8" name="數量"/>
    <tableColumn id="9" name="小計金額"/>
    <tableColumn id="10" name="發票號碼"/>
    <tableColumn id="11" name="審核備註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9" customWidth="1" min="4" max="4"/>
    <col width="11" customWidth="1" min="5" max="5"/>
    <col width="32" customWidth="1" min="6" max="6"/>
    <col width="9" customWidth="1" min="7" max="7"/>
    <col width="7" customWidth="1" min="8" max="8"/>
    <col width="11" customWidth="1" min="9" max="9"/>
    <col width="14" customWidth="1" min="10" max="10"/>
    <col width="12" customWidth="1" min="11" max="11"/>
  </cols>
  <sheetData>
    <row r="1">
      <c r="A1" s="1" t="inlineStr">
        <is>
          <t>報銷序號</t>
        </is>
      </c>
      <c r="B1" s="1" t="inlineStr">
        <is>
          <t>報銷日期</t>
        </is>
      </c>
      <c r="C1" s="1" t="inlineStr">
        <is>
          <t>申請部門</t>
        </is>
      </c>
      <c r="D1" s="1" t="inlineStr">
        <is>
          <t>申請人</t>
        </is>
      </c>
      <c r="E1" s="1" t="inlineStr">
        <is>
          <t>費用類別</t>
        </is>
      </c>
      <c r="F1" s="1" t="inlineStr">
        <is>
          <t>支出項目說明</t>
        </is>
      </c>
      <c r="G1" s="1" t="inlineStr">
        <is>
          <t>單價</t>
        </is>
      </c>
      <c r="H1" s="1" t="inlineStr">
        <is>
          <t>數量</t>
        </is>
      </c>
      <c r="I1" s="1" t="inlineStr">
        <is>
          <t>小計金額</t>
        </is>
      </c>
      <c r="J1" s="1" t="inlineStr">
        <is>
          <t>發票號碼</t>
        </is>
      </c>
      <c r="K1" s="1" t="inlineStr">
        <is>
          <t>審核備註</t>
        </is>
      </c>
    </row>
    <row r="2">
      <c r="A2" s="2" t="inlineStr">
        <is>
          <t>EXP-2026-001</t>
        </is>
      </c>
      <c r="B2" s="3" t="n">
        <v>46083</v>
      </c>
      <c r="C2" s="2" t="inlineStr">
        <is>
          <t>研發部</t>
        </is>
      </c>
      <c r="D2" s="2" t="inlineStr">
        <is>
          <t>林志遠</t>
        </is>
      </c>
      <c r="E2" s="2" t="inlineStr">
        <is>
          <t>交通差旅</t>
        </is>
      </c>
      <c r="F2" s="4" t="inlineStr">
        <is>
          <t>高鐵來回車票（台北－新竹客戶端技術對接）</t>
        </is>
      </c>
      <c r="G2" s="5" t="n">
        <v>580</v>
      </c>
      <c r="H2" s="5" t="n">
        <v>2</v>
      </c>
      <c r="I2" s="5">
        <f>G2*H2</f>
        <v/>
      </c>
      <c r="J2" s="2" t="inlineStr">
        <is>
          <t>AB-10293847</t>
        </is>
      </c>
      <c r="K2" s="2" t="inlineStr">
        <is>
          <t>附票根</t>
        </is>
      </c>
    </row>
    <row r="3">
      <c r="A3" s="2" t="inlineStr">
        <is>
          <t>EXP-2026-002</t>
        </is>
      </c>
      <c r="B3" s="3" t="n">
        <v>46084</v>
      </c>
      <c r="C3" s="2" t="inlineStr">
        <is>
          <t>行銷部</t>
        </is>
      </c>
      <c r="D3" s="2" t="inlineStr">
        <is>
          <t>張雅晴</t>
        </is>
      </c>
      <c r="E3" s="2" t="inlineStr">
        <is>
          <t>業務推廣</t>
        </is>
      </c>
      <c r="F3" s="4" t="inlineStr">
        <is>
          <t>春季新品發表會場地租借</t>
        </is>
      </c>
      <c r="G3" s="5" t="n">
        <v>12000</v>
      </c>
      <c r="H3" s="5" t="n">
        <v>1</v>
      </c>
      <c r="I3" s="5">
        <f>G3*H3</f>
        <v/>
      </c>
      <c r="J3" s="2" t="inlineStr">
        <is>
          <t>AC-99887766</t>
        </is>
      </c>
      <c r="K3" s="2" t="inlineStr">
        <is>
          <t>附合約</t>
        </is>
      </c>
    </row>
    <row r="4">
      <c r="A4" s="2" t="inlineStr">
        <is>
          <t>EXP-2026-003</t>
        </is>
      </c>
      <c r="B4" s="3" t="n">
        <v>46086</v>
      </c>
      <c r="C4" s="2" t="inlineStr">
        <is>
          <t>維運部</t>
        </is>
      </c>
      <c r="D4" s="2" t="inlineStr">
        <is>
          <t>陳建宏</t>
        </is>
      </c>
      <c r="E4" s="2" t="inlineStr">
        <is>
          <t>硬體耗材</t>
        </is>
      </c>
      <c r="F4" s="4" t="inlineStr">
        <is>
          <t>機房網路線與轉接頭</t>
        </is>
      </c>
      <c r="G4" s="5" t="n">
        <v>450</v>
      </c>
      <c r="H4" s="5" t="n">
        <v>6</v>
      </c>
      <c r="I4" s="5">
        <f>G4*H4</f>
        <v/>
      </c>
      <c r="J4" s="2" t="inlineStr">
        <is>
          <t>AD-33445566</t>
        </is>
      </c>
      <c r="K4" s="2" t="inlineStr">
        <is>
          <t>已入庫</t>
        </is>
      </c>
    </row>
    <row r="5">
      <c r="A5" s="2" t="inlineStr">
        <is>
          <t>EXP-2026-004</t>
        </is>
      </c>
      <c r="B5" s="3" t="n">
        <v>46089</v>
      </c>
      <c r="C5" s="2" t="inlineStr">
        <is>
          <t>研發部</t>
        </is>
      </c>
      <c r="D5" s="2" t="inlineStr">
        <is>
          <t>王思婷</t>
        </is>
      </c>
      <c r="E5" s="2" t="inlineStr">
        <is>
          <t>軟體訂閱</t>
        </is>
      </c>
      <c r="F5" s="4" t="inlineStr">
        <is>
          <t>雲端協作平台團隊月租</t>
        </is>
      </c>
      <c r="G5" s="5" t="n">
        <v>1800</v>
      </c>
      <c r="H5" s="5" t="n">
        <v>1</v>
      </c>
      <c r="I5" s="5">
        <f>G5*H5</f>
        <v/>
      </c>
      <c r="J5" s="2" t="inlineStr">
        <is>
          <t>AE-55667788</t>
        </is>
      </c>
      <c r="K5" s="2" t="inlineStr"/>
    </row>
    <row r="6">
      <c r="A6" s="2" t="inlineStr">
        <is>
          <t>EXP-2026-005</t>
        </is>
      </c>
      <c r="B6" s="3" t="n">
        <v>46091</v>
      </c>
      <c r="C6" s="2" t="inlineStr">
        <is>
          <t>業務部</t>
        </is>
      </c>
      <c r="D6" s="2" t="inlineStr">
        <is>
          <t>黃俊傑</t>
        </is>
      </c>
      <c r="E6" s="2" t="inlineStr">
        <is>
          <t>交際應酬</t>
        </is>
      </c>
      <c r="F6" s="4" t="inlineStr">
        <is>
          <t>策略夥伴商務餐敘</t>
        </is>
      </c>
      <c r="G6" s="5" t="n">
        <v>4800</v>
      </c>
      <c r="H6" s="5" t="n">
        <v>1</v>
      </c>
      <c r="I6" s="5">
        <f>G6*H6</f>
        <v/>
      </c>
      <c r="J6" s="2" t="inlineStr">
        <is>
          <t>AF-77889900</t>
        </is>
      </c>
      <c r="K6" s="2" t="inlineStr">
        <is>
          <t>附簽到單</t>
        </is>
      </c>
    </row>
    <row r="7">
      <c r="A7" s="2" t="inlineStr">
        <is>
          <t>EXP-2026-006</t>
        </is>
      </c>
      <c r="B7" s="3" t="n">
        <v>46093</v>
      </c>
      <c r="C7" s="2" t="inlineStr">
        <is>
          <t>管理部</t>
        </is>
      </c>
      <c r="D7" s="2" t="inlineStr">
        <is>
          <t>劉美琪</t>
        </is>
      </c>
      <c r="E7" s="2" t="inlineStr">
        <is>
          <t>辦公行政</t>
        </is>
      </c>
      <c r="F7" s="4" t="inlineStr">
        <is>
          <t>季度文具與事務耗材</t>
        </is>
      </c>
      <c r="G7" s="5" t="n">
        <v>350</v>
      </c>
      <c r="H7" s="5" t="n">
        <v>12</v>
      </c>
      <c r="I7" s="5">
        <f>G7*H7</f>
        <v/>
      </c>
      <c r="J7" s="2" t="inlineStr">
        <is>
          <t>AG-11223344</t>
        </is>
      </c>
      <c r="K7" s="2" t="inlineStr"/>
    </row>
    <row r="8">
      <c r="A8" s="2" t="inlineStr">
        <is>
          <t>EXP-2026-007</t>
        </is>
      </c>
      <c r="B8" s="3" t="n">
        <v>46096</v>
      </c>
      <c r="C8" s="2" t="inlineStr">
        <is>
          <t>行銷部</t>
        </is>
      </c>
      <c r="D8" s="2" t="inlineStr">
        <is>
          <t>張雅晴</t>
        </is>
      </c>
      <c r="E8" s="2" t="inlineStr">
        <is>
          <t>廣告投放</t>
        </is>
      </c>
      <c r="F8" s="4" t="inlineStr">
        <is>
          <t>數位影音廣告春季預算</t>
        </is>
      </c>
      <c r="G8" s="5" t="n">
        <v>25000</v>
      </c>
      <c r="H8" s="5" t="n">
        <v>1</v>
      </c>
      <c r="I8" s="5">
        <f>G8*H8</f>
        <v/>
      </c>
      <c r="J8" s="2" t="inlineStr">
        <is>
          <t>AH-66778899</t>
        </is>
      </c>
      <c r="K8" s="2" t="inlineStr">
        <is>
          <t>附結案報告</t>
        </is>
      </c>
    </row>
    <row r="9">
      <c r="A9" s="2" t="inlineStr">
        <is>
          <t>EXP-2026-008</t>
        </is>
      </c>
      <c r="B9" s="3" t="n">
        <v>46099</v>
      </c>
      <c r="C9" s="2" t="inlineStr">
        <is>
          <t>研發部</t>
        </is>
      </c>
      <c r="D9" s="2" t="inlineStr">
        <is>
          <t>林志遠</t>
        </is>
      </c>
      <c r="E9" s="2" t="inlineStr">
        <is>
          <t>專業培訓</t>
        </is>
      </c>
      <c r="F9" s="4" t="inlineStr">
        <is>
          <t>雲端架構證照考試報名費</t>
        </is>
      </c>
      <c r="G9" s="5" t="n">
        <v>6500</v>
      </c>
      <c r="H9" s="5" t="n">
        <v>2</v>
      </c>
      <c r="I9" s="5">
        <f>G9*H9</f>
        <v/>
      </c>
      <c r="J9" s="2" t="inlineStr">
        <is>
          <t>AI-44332211</t>
        </is>
      </c>
      <c r="K9" s="2" t="inlineStr"/>
    </row>
    <row r="10">
      <c r="A10" s="2" t="inlineStr">
        <is>
          <t>EXP-2026-009</t>
        </is>
      </c>
      <c r="B10" s="3" t="n">
        <v>46103</v>
      </c>
      <c r="C10" s="2" t="inlineStr">
        <is>
          <t>業務部</t>
        </is>
      </c>
      <c r="D10" s="2" t="inlineStr">
        <is>
          <t>黃俊傑</t>
        </is>
      </c>
      <c r="E10" s="2" t="inlineStr">
        <is>
          <t>交通差旅</t>
        </is>
      </c>
      <c r="F10" s="4" t="inlineStr">
        <is>
          <t>業務拜訪油資與過路費</t>
        </is>
      </c>
      <c r="G10" s="5" t="n">
        <v>1450</v>
      </c>
      <c r="H10" s="5" t="n">
        <v>1</v>
      </c>
      <c r="I10" s="5">
        <f>G10*H10</f>
        <v/>
      </c>
      <c r="J10" s="2" t="inlineStr">
        <is>
          <t>AJ-88990011</t>
        </is>
      </c>
      <c r="K10" s="2" t="inlineStr">
        <is>
          <t>附里程表</t>
        </is>
      </c>
    </row>
    <row r="11">
      <c r="A11" s="2" t="inlineStr">
        <is>
          <t>EXP-2026-010</t>
        </is>
      </c>
      <c r="B11" s="3" t="n">
        <v>46106</v>
      </c>
      <c r="C11" s="2" t="inlineStr">
        <is>
          <t>管理部</t>
        </is>
      </c>
      <c r="D11" s="2" t="inlineStr">
        <is>
          <t>劉美琪</t>
        </is>
      </c>
      <c r="E11" s="2" t="inlineStr">
        <is>
          <t>會議雜費</t>
        </is>
      </c>
      <c r="F11" s="4" t="inlineStr">
        <is>
          <t>季會茶點</t>
        </is>
      </c>
      <c r="G11" s="5" t="n">
        <v>280</v>
      </c>
      <c r="H11" s="5" t="n">
        <v>15</v>
      </c>
      <c r="I11" s="5">
        <f>G11*H11</f>
        <v/>
      </c>
      <c r="J11" s="2" t="inlineStr">
        <is>
          <t>AK-22334455</t>
        </is>
      </c>
      <c r="K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</cols>
  <sheetData>
    <row r="1">
      <c r="A1" s="1" t="inlineStr">
        <is>
          <t>彙總項目</t>
        </is>
      </c>
      <c r="B1" s="1" t="inlineStr">
        <is>
          <t>數值</t>
        </is>
      </c>
      <c r="C1" s="1" t="inlineStr">
        <is>
          <t>公式說明</t>
        </is>
      </c>
    </row>
    <row r="2">
      <c r="A2" s="6" t="inlineStr">
        <is>
          <t>報銷筆數</t>
        </is>
      </c>
      <c r="B2" s="7">
        <f>COUNTA(T_Expense[報銷序號])</f>
        <v/>
      </c>
      <c r="C2" s="8" t="inlineStr">
        <is>
          <t>數表格中有幾個報銷序號</t>
        </is>
      </c>
    </row>
    <row r="3">
      <c r="A3" s="6" t="inlineStr">
        <is>
          <t>報銷總計金額</t>
        </is>
      </c>
      <c r="B3" s="5">
        <f>SUM(T_Expense[小計金額])</f>
        <v/>
      </c>
      <c r="C3" s="8" t="inlineStr">
        <is>
          <t>加總整欄小計，新增列會自動算進來</t>
        </is>
      </c>
    </row>
    <row r="4">
      <c r="A4" s="6" t="inlineStr">
        <is>
          <t>最大單筆金額</t>
        </is>
      </c>
      <c r="B4" s="5">
        <f>MAX(T_Expense[小計金額])</f>
        <v/>
      </c>
      <c r="C4" s="8" t="inlineStr">
        <is>
          <t>找出最大的一筆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