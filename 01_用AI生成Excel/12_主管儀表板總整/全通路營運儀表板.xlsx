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儀表板" sheetId="1" state="visible" r:id="rId1"/>
    <sheet name="計算" sheetId="2" state="visible" r:id="rId2"/>
    <sheet name="銷售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  <color rgb="00FFFFFF"/>
      <sz val="18"/>
    </font>
    <font>
      <name val="Microsoft JhengHei"/>
      <b val="1"/>
      <color rgb="001F4E79"/>
    </font>
    <font>
      <name val="Microsoft JhengHei"/>
      <b val="1"/>
      <color rgb="001F4E79"/>
      <sz val="20"/>
    </font>
    <font>
      <name val="Microsoft JhengHe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每月營收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'計算'!B1</f>
            </strRef>
          </tx>
          <spPr>
            <a:ln>
              <a:prstDash val="solid"/>
            </a:ln>
          </spPr>
          <cat>
            <numRef>
              <f>'計算'!$A$2:$A$4</f>
            </numRef>
          </cat>
          <val>
            <numRef>
              <f>'計算'!$B$2:$B$4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各通路營收與毛利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'計算'!B7</f>
            </strRef>
          </tx>
          <spPr>
            <a:ln>
              <a:prstDash val="solid"/>
            </a:ln>
          </spPr>
          <cat>
            <numRef>
              <f>'計算'!$A$8:$A$10</f>
            </numRef>
          </cat>
          <val>
            <numRef>
              <f>'計算'!$B$8:$B$10</f>
            </numRef>
          </val>
        </ser>
        <ser>
          <idx val="1"/>
          <order val="1"/>
          <tx>
            <strRef>
              <f>'計算'!C7</f>
            </strRef>
          </tx>
          <spPr>
            <a:ln>
              <a:prstDash val="solid"/>
            </a:ln>
          </spPr>
          <cat>
            <numRef>
              <f>'計算'!$A$8:$A$10</f>
            </numRef>
          </cat>
          <val>
            <numRef>
              <f>'計算'!$C$8:$C$10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通路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ales12" displayName="T_Sales12" ref="A1:G61" headerRowCount="1">
  <autoFilter ref="A1:G61"/>
  <tableColumns count="7">
    <tableColumn id="1" name="訂單編號"/>
    <tableColumn id="2" name="訂單日期"/>
    <tableColumn id="3" name="通路"/>
    <tableColumn id="4" name="產品類別"/>
    <tableColumn id="5" name="銷售金額"/>
    <tableColumn id="6" name="成本"/>
    <tableColumn id="7" name="毛利">
      <calculatedColumnFormula>T_Sales12[[#This Row],[銷售金額]]-T_Sales12[[#This Row],[成本]]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4" customHeight="1">
      <c r="A1" s="1" t="inlineStr">
        <is>
          <t>2026 第一季全通路營運儀表板</t>
        </is>
      </c>
    </row>
    <row r="3">
      <c r="A3" s="2" t="inlineStr">
        <is>
          <t>總營收</t>
        </is>
      </c>
      <c r="D3" s="2" t="inlineStr">
        <is>
          <t>總毛利</t>
        </is>
      </c>
      <c r="G3" s="2" t="inlineStr">
        <is>
          <t>毛利率</t>
        </is>
      </c>
      <c r="J3" s="2" t="inlineStr">
        <is>
          <t>訂單筆數</t>
        </is>
      </c>
    </row>
    <row r="4">
      <c r="A4" s="3">
        <f>SUM(T_Sales12[銷售金額])</f>
        <v/>
      </c>
      <c r="D4" s="3">
        <f>SUM(T_Sales12[毛利])</f>
        <v/>
      </c>
      <c r="G4" s="4">
        <f>IF(SUM(T_Sales12[銷售金額])=0,0,SUM(T_Sales12[毛利])/SUM(T_Sales12[銷售金額]))</f>
        <v/>
      </c>
      <c r="J4" s="3">
        <f>COUNTA(T_Sales12[訂單編號])</f>
        <v/>
      </c>
    </row>
    <row r="5"/>
    <row r="23">
      <c r="A23" s="5" t="inlineStr">
        <is>
          <t>📝 本季重點（AI 依示範資料撰寫，數字可對照上方卡片與「計算」工作表）</t>
        </is>
      </c>
    </row>
    <row r="24">
      <c r="A24" s="6" t="inlineStr">
        <is>
          <t>1. 營收最高的月份是 2 月，共 175,560 元。</t>
        </is>
      </c>
    </row>
    <row r="25">
      <c r="A25" s="6" t="inlineStr">
        <is>
          <t>2. 營收最高的通路是「電商平台」，共 191,030 元。</t>
        </is>
      </c>
    </row>
    <row r="26">
      <c r="A26" s="6" t="inlineStr">
        <is>
          <t>3. 毛利率最高的通路是「門市」（40.8%），可優先檢視其定價做法。</t>
        </is>
      </c>
    </row>
    <row r="27">
      <c r="A27" s="6" t="inlineStr">
        <is>
          <t>⚠️ 限制：只有一季資料，不能推論長期趨勢；毛利未扣除運費與人事成本。</t>
        </is>
      </c>
    </row>
  </sheetData>
  <mergeCells count="9">
    <mergeCell ref="A1:L1"/>
    <mergeCell ref="D3:F3"/>
    <mergeCell ref="A3:C3"/>
    <mergeCell ref="A4:C5"/>
    <mergeCell ref="G3:I3"/>
    <mergeCell ref="D4:F5"/>
    <mergeCell ref="G4:I5"/>
    <mergeCell ref="J3:L3"/>
    <mergeCell ref="J4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</cols>
  <sheetData>
    <row r="1">
      <c r="A1" s="7" t="inlineStr">
        <is>
          <t>月份</t>
        </is>
      </c>
      <c r="B1" s="7" t="inlineStr">
        <is>
          <t>營收</t>
        </is>
      </c>
      <c r="C1" s="7" t="inlineStr">
        <is>
          <t>毛利</t>
        </is>
      </c>
    </row>
    <row r="2">
      <c r="A2" s="8" t="n">
        <v>46023</v>
      </c>
      <c r="B2" s="9">
        <f>SUMIFS(T_Sales12[銷售金額],T_Sales12[訂單日期],"&gt;="&amp;$A2,T_Sales12[訂單日期],"&lt;"&amp;EDATE($A2,1))</f>
        <v/>
      </c>
      <c r="C2" s="9">
        <f>SUMIFS(T_Sales12[毛利],T_Sales12[訂單日期],"&gt;="&amp;$A2,T_Sales12[訂單日期],"&lt;"&amp;EDATE($A2,1))</f>
        <v/>
      </c>
    </row>
    <row r="3">
      <c r="A3" s="8" t="n">
        <v>46054</v>
      </c>
      <c r="B3" s="9">
        <f>SUMIFS(T_Sales12[銷售金額],T_Sales12[訂單日期],"&gt;="&amp;$A3,T_Sales12[訂單日期],"&lt;"&amp;EDATE($A3,1))</f>
        <v/>
      </c>
      <c r="C3" s="9">
        <f>SUMIFS(T_Sales12[毛利],T_Sales12[訂單日期],"&gt;="&amp;$A3,T_Sales12[訂單日期],"&lt;"&amp;EDATE($A3,1))</f>
        <v/>
      </c>
    </row>
    <row r="4">
      <c r="A4" s="8" t="n">
        <v>46082</v>
      </c>
      <c r="B4" s="9">
        <f>SUMIFS(T_Sales12[銷售金額],T_Sales12[訂單日期],"&gt;="&amp;$A4,T_Sales12[訂單日期],"&lt;"&amp;EDATE($A4,1))</f>
        <v/>
      </c>
      <c r="C4" s="9">
        <f>SUMIFS(T_Sales12[毛利],T_Sales12[訂單日期],"&gt;="&amp;$A4,T_Sales12[訂單日期],"&lt;"&amp;EDATE($A4,1))</f>
        <v/>
      </c>
    </row>
    <row r="7">
      <c r="A7" s="7" t="inlineStr">
        <is>
          <t>通路</t>
        </is>
      </c>
      <c r="B7" s="7" t="inlineStr">
        <is>
          <t>營收</t>
        </is>
      </c>
      <c r="C7" s="7" t="inlineStr">
        <is>
          <t>毛利</t>
        </is>
      </c>
      <c r="D7" s="7" t="inlineStr">
        <is>
          <t>毛利率</t>
        </is>
      </c>
    </row>
    <row r="8">
      <c r="A8" t="inlineStr">
        <is>
          <t>門市</t>
        </is>
      </c>
      <c r="B8" s="9">
        <f>SUMIFS(T_Sales12[銷售金額],T_Sales12[通路],$A8)</f>
        <v/>
      </c>
      <c r="C8" s="9">
        <f>SUMIFS(T_Sales12[毛利],T_Sales12[通路],$A8)</f>
        <v/>
      </c>
      <c r="D8" s="10">
        <f>IF(B8=0,0,C8/B8)</f>
        <v/>
      </c>
    </row>
    <row r="9">
      <c r="A9" t="inlineStr">
        <is>
          <t>官網</t>
        </is>
      </c>
      <c r="B9" s="9">
        <f>SUMIFS(T_Sales12[銷售金額],T_Sales12[通路],$A9)</f>
        <v/>
      </c>
      <c r="C9" s="9">
        <f>SUMIFS(T_Sales12[毛利],T_Sales12[通路],$A9)</f>
        <v/>
      </c>
      <c r="D9" s="10">
        <f>IF(B9=0,0,C9/B9)</f>
        <v/>
      </c>
    </row>
    <row r="10">
      <c r="A10" t="inlineStr">
        <is>
          <t>電商平台</t>
        </is>
      </c>
      <c r="B10" s="9">
        <f>SUMIFS(T_Sales12[銷售金額],T_Sales12[通路],$A10)</f>
        <v/>
      </c>
      <c r="C10" s="9">
        <f>SUMIFS(T_Sales12[毛利],T_Sales12[通路],$A10)</f>
        <v/>
      </c>
      <c r="D10" s="10">
        <f>IF(B10=0,0,C10/B10)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訂單編號</t>
        </is>
      </c>
      <c r="B1" s="7" t="inlineStr">
        <is>
          <t>訂單日期</t>
        </is>
      </c>
      <c r="C1" s="7" t="inlineStr">
        <is>
          <t>通路</t>
        </is>
      </c>
      <c r="D1" s="7" t="inlineStr">
        <is>
          <t>產品類別</t>
        </is>
      </c>
      <c r="E1" s="7" t="inlineStr">
        <is>
          <t>銷售金額</t>
        </is>
      </c>
      <c r="F1" s="7" t="inlineStr">
        <is>
          <t>成本</t>
        </is>
      </c>
      <c r="G1" s="7" t="inlineStr">
        <is>
          <t>毛利</t>
        </is>
      </c>
    </row>
    <row r="2">
      <c r="A2" s="6" t="inlineStr">
        <is>
          <t>S-0001</t>
        </is>
      </c>
      <c r="B2" s="11" t="n">
        <v>46023</v>
      </c>
      <c r="C2" s="6" t="inlineStr">
        <is>
          <t>電商平台</t>
        </is>
      </c>
      <c r="D2" s="6" t="inlineStr">
        <is>
          <t>電腦周邊</t>
        </is>
      </c>
      <c r="E2" s="12" t="n">
        <v>14040</v>
      </c>
      <c r="F2" s="12" t="n">
        <v>10050</v>
      </c>
      <c r="G2" s="12">
        <f>T_Sales12[[#This Row],[銷售金額]]-T_Sales12[[#This Row],[成本]]</f>
        <v/>
      </c>
    </row>
    <row r="3">
      <c r="A3" s="6" t="inlineStr">
        <is>
          <t>S-0002</t>
        </is>
      </c>
      <c r="B3" s="11" t="n">
        <v>46024</v>
      </c>
      <c r="C3" s="6" t="inlineStr">
        <is>
          <t>電商平台</t>
        </is>
      </c>
      <c r="D3" s="6" t="inlineStr">
        <is>
          <t>電腦周邊</t>
        </is>
      </c>
      <c r="E3" s="12" t="n">
        <v>14050</v>
      </c>
      <c r="F3" s="12" t="n">
        <v>7560</v>
      </c>
      <c r="G3" s="12">
        <f>T_Sales12[[#This Row],[銷售金額]]-T_Sales12[[#This Row],[成本]]</f>
        <v/>
      </c>
    </row>
    <row r="4">
      <c r="A4" s="6" t="inlineStr">
        <is>
          <t>S-0003</t>
        </is>
      </c>
      <c r="B4" s="11" t="n">
        <v>46025</v>
      </c>
      <c r="C4" s="6" t="inlineStr">
        <is>
          <t>電商平台</t>
        </is>
      </c>
      <c r="D4" s="6" t="inlineStr">
        <is>
          <t>音訊</t>
        </is>
      </c>
      <c r="E4" s="12" t="n">
        <v>8700</v>
      </c>
      <c r="F4" s="12" t="n">
        <v>5690</v>
      </c>
      <c r="G4" s="12">
        <f>T_Sales12[[#This Row],[銷售金額]]-T_Sales12[[#This Row],[成本]]</f>
        <v/>
      </c>
    </row>
    <row r="5">
      <c r="A5" s="6" t="inlineStr">
        <is>
          <t>S-0004</t>
        </is>
      </c>
      <c r="B5" s="11" t="n">
        <v>46027</v>
      </c>
      <c r="C5" s="6" t="inlineStr">
        <is>
          <t>門市</t>
        </is>
      </c>
      <c r="D5" s="6" t="inlineStr">
        <is>
          <t>音訊</t>
        </is>
      </c>
      <c r="E5" s="12" t="n">
        <v>8310</v>
      </c>
      <c r="F5" s="12" t="n">
        <v>5120</v>
      </c>
      <c r="G5" s="12">
        <f>T_Sales12[[#This Row],[銷售金額]]-T_Sales12[[#This Row],[成本]]</f>
        <v/>
      </c>
    </row>
    <row r="6">
      <c r="A6" s="6" t="inlineStr">
        <is>
          <t>S-0005</t>
        </is>
      </c>
      <c r="B6" s="11" t="n">
        <v>46027</v>
      </c>
      <c r="C6" s="6" t="inlineStr">
        <is>
          <t>官網</t>
        </is>
      </c>
      <c r="D6" s="6" t="inlineStr">
        <is>
          <t>配件</t>
        </is>
      </c>
      <c r="E6" s="12" t="n">
        <v>11540</v>
      </c>
      <c r="F6" s="12" t="n">
        <v>7290</v>
      </c>
      <c r="G6" s="12">
        <f>T_Sales12[[#This Row],[銷售金額]]-T_Sales12[[#This Row],[成本]]</f>
        <v/>
      </c>
    </row>
    <row r="7">
      <c r="A7" s="6" t="inlineStr">
        <is>
          <t>S-0006</t>
        </is>
      </c>
      <c r="B7" s="11" t="n">
        <v>46031</v>
      </c>
      <c r="C7" s="6" t="inlineStr">
        <is>
          <t>官網</t>
        </is>
      </c>
      <c r="D7" s="6" t="inlineStr">
        <is>
          <t>音訊</t>
        </is>
      </c>
      <c r="E7" s="12" t="n">
        <v>5310</v>
      </c>
      <c r="F7" s="12" t="n">
        <v>3160</v>
      </c>
      <c r="G7" s="12">
        <f>T_Sales12[[#This Row],[銷售金額]]-T_Sales12[[#This Row],[成本]]</f>
        <v/>
      </c>
    </row>
    <row r="8">
      <c r="A8" s="6" t="inlineStr">
        <is>
          <t>S-0007</t>
        </is>
      </c>
      <c r="B8" s="11" t="n">
        <v>46033</v>
      </c>
      <c r="C8" s="6" t="inlineStr">
        <is>
          <t>官網</t>
        </is>
      </c>
      <c r="D8" s="6" t="inlineStr">
        <is>
          <t>電腦周邊</t>
        </is>
      </c>
      <c r="E8" s="12" t="n">
        <v>14450</v>
      </c>
      <c r="F8" s="12" t="n">
        <v>7570</v>
      </c>
      <c r="G8" s="12">
        <f>T_Sales12[[#This Row],[銷售金額]]-T_Sales12[[#This Row],[成本]]</f>
        <v/>
      </c>
    </row>
    <row r="9">
      <c r="A9" s="6" t="inlineStr">
        <is>
          <t>S-0008</t>
        </is>
      </c>
      <c r="B9" s="11" t="n">
        <v>46034</v>
      </c>
      <c r="C9" s="6" t="inlineStr">
        <is>
          <t>官網</t>
        </is>
      </c>
      <c r="D9" s="6" t="inlineStr">
        <is>
          <t>電腦周邊</t>
        </is>
      </c>
      <c r="E9" s="12" t="n">
        <v>3820</v>
      </c>
      <c r="F9" s="12" t="n">
        <v>2030</v>
      </c>
      <c r="G9" s="12">
        <f>T_Sales12[[#This Row],[銷售金額]]-T_Sales12[[#This Row],[成本]]</f>
        <v/>
      </c>
    </row>
    <row r="10">
      <c r="A10" s="6" t="inlineStr">
        <is>
          <t>S-0009</t>
        </is>
      </c>
      <c r="B10" s="11" t="n">
        <v>46034</v>
      </c>
      <c r="C10" s="6" t="inlineStr">
        <is>
          <t>官網</t>
        </is>
      </c>
      <c r="D10" s="6" t="inlineStr">
        <is>
          <t>配件</t>
        </is>
      </c>
      <c r="E10" s="12" t="n">
        <v>14630</v>
      </c>
      <c r="F10" s="12" t="n">
        <v>8510</v>
      </c>
      <c r="G10" s="12">
        <f>T_Sales12[[#This Row],[銷售金額]]-T_Sales12[[#This Row],[成本]]</f>
        <v/>
      </c>
    </row>
    <row r="11">
      <c r="A11" s="6" t="inlineStr">
        <is>
          <t>S-0010</t>
        </is>
      </c>
      <c r="B11" s="11" t="n">
        <v>46036</v>
      </c>
      <c r="C11" s="6" t="inlineStr">
        <is>
          <t>門市</t>
        </is>
      </c>
      <c r="D11" s="6" t="inlineStr">
        <is>
          <t>配件</t>
        </is>
      </c>
      <c r="E11" s="12" t="n">
        <v>9580</v>
      </c>
      <c r="F11" s="12" t="n">
        <v>5790</v>
      </c>
      <c r="G11" s="12">
        <f>T_Sales12[[#This Row],[銷售金額]]-T_Sales12[[#This Row],[成本]]</f>
        <v/>
      </c>
    </row>
    <row r="12">
      <c r="A12" s="6" t="inlineStr">
        <is>
          <t>S-0011</t>
        </is>
      </c>
      <c r="B12" s="11" t="n">
        <v>46038</v>
      </c>
      <c r="C12" s="6" t="inlineStr">
        <is>
          <t>電商平台</t>
        </is>
      </c>
      <c r="D12" s="6" t="inlineStr">
        <is>
          <t>配件</t>
        </is>
      </c>
      <c r="E12" s="12" t="n">
        <v>6000</v>
      </c>
      <c r="F12" s="12" t="n">
        <v>3920</v>
      </c>
      <c r="G12" s="12">
        <f>T_Sales12[[#This Row],[銷售金額]]-T_Sales12[[#This Row],[成本]]</f>
        <v/>
      </c>
    </row>
    <row r="13">
      <c r="A13" s="6" t="inlineStr">
        <is>
          <t>S-0012</t>
        </is>
      </c>
      <c r="B13" s="11" t="n">
        <v>46038</v>
      </c>
      <c r="C13" s="6" t="inlineStr">
        <is>
          <t>電商平台</t>
        </is>
      </c>
      <c r="D13" s="6" t="inlineStr">
        <is>
          <t>音訊</t>
        </is>
      </c>
      <c r="E13" s="12" t="n">
        <v>10260</v>
      </c>
      <c r="F13" s="12" t="n">
        <v>6450</v>
      </c>
      <c r="G13" s="12">
        <f>T_Sales12[[#This Row],[銷售金額]]-T_Sales12[[#This Row],[成本]]</f>
        <v/>
      </c>
    </row>
    <row r="14">
      <c r="A14" s="6" t="inlineStr">
        <is>
          <t>S-0013</t>
        </is>
      </c>
      <c r="B14" s="11" t="n">
        <v>46041</v>
      </c>
      <c r="C14" s="6" t="inlineStr">
        <is>
          <t>門市</t>
        </is>
      </c>
      <c r="D14" s="6" t="inlineStr">
        <is>
          <t>電腦周邊</t>
        </is>
      </c>
      <c r="E14" s="12" t="n">
        <v>10740</v>
      </c>
      <c r="F14" s="12" t="n">
        <v>6400</v>
      </c>
      <c r="G14" s="12">
        <f>T_Sales12[[#This Row],[銷售金額]]-T_Sales12[[#This Row],[成本]]</f>
        <v/>
      </c>
    </row>
    <row r="15">
      <c r="A15" s="6" t="inlineStr">
        <is>
          <t>S-0014</t>
        </is>
      </c>
      <c r="B15" s="11" t="n">
        <v>46042</v>
      </c>
      <c r="C15" s="6" t="inlineStr">
        <is>
          <t>電商平台</t>
        </is>
      </c>
      <c r="D15" s="6" t="inlineStr">
        <is>
          <t>電腦周邊</t>
        </is>
      </c>
      <c r="E15" s="12" t="n">
        <v>2600</v>
      </c>
      <c r="F15" s="12" t="n">
        <v>1440</v>
      </c>
      <c r="G15" s="12">
        <f>T_Sales12[[#This Row],[銷售金額]]-T_Sales12[[#This Row],[成本]]</f>
        <v/>
      </c>
    </row>
    <row r="16">
      <c r="A16" s="6" t="inlineStr">
        <is>
          <t>S-0015</t>
        </is>
      </c>
      <c r="B16" s="11" t="n">
        <v>46043</v>
      </c>
      <c r="C16" s="6" t="inlineStr">
        <is>
          <t>電商平台</t>
        </is>
      </c>
      <c r="D16" s="6" t="inlineStr">
        <is>
          <t>配件</t>
        </is>
      </c>
      <c r="E16" s="12" t="n">
        <v>9920</v>
      </c>
      <c r="F16" s="12" t="n">
        <v>5610</v>
      </c>
      <c r="G16" s="12">
        <f>T_Sales12[[#This Row],[銷售金額]]-T_Sales12[[#This Row],[成本]]</f>
        <v/>
      </c>
    </row>
    <row r="17">
      <c r="A17" s="6" t="inlineStr">
        <is>
          <t>S-0016</t>
        </is>
      </c>
      <c r="B17" s="11" t="n">
        <v>46043</v>
      </c>
      <c r="C17" s="6" t="inlineStr">
        <is>
          <t>門市</t>
        </is>
      </c>
      <c r="D17" s="6" t="inlineStr">
        <is>
          <t>配件</t>
        </is>
      </c>
      <c r="E17" s="12" t="n">
        <v>2190</v>
      </c>
      <c r="F17" s="12" t="n">
        <v>1250</v>
      </c>
      <c r="G17" s="12">
        <f>T_Sales12[[#This Row],[銷售金額]]-T_Sales12[[#This Row],[成本]]</f>
        <v/>
      </c>
    </row>
    <row r="18">
      <c r="A18" s="6" t="inlineStr">
        <is>
          <t>S-0017</t>
        </is>
      </c>
      <c r="B18" s="11" t="n">
        <v>46044</v>
      </c>
      <c r="C18" s="6" t="inlineStr">
        <is>
          <t>門市</t>
        </is>
      </c>
      <c r="D18" s="6" t="inlineStr">
        <is>
          <t>音訊</t>
        </is>
      </c>
      <c r="E18" s="12" t="n">
        <v>9240</v>
      </c>
      <c r="F18" s="12" t="n">
        <v>5180</v>
      </c>
      <c r="G18" s="12">
        <f>T_Sales12[[#This Row],[銷售金額]]-T_Sales12[[#This Row],[成本]]</f>
        <v/>
      </c>
    </row>
    <row r="19">
      <c r="A19" s="6" t="inlineStr">
        <is>
          <t>S-0018</t>
        </is>
      </c>
      <c r="B19" s="11" t="n">
        <v>46045</v>
      </c>
      <c r="C19" s="6" t="inlineStr">
        <is>
          <t>電商平台</t>
        </is>
      </c>
      <c r="D19" s="6" t="inlineStr">
        <is>
          <t>電腦周邊</t>
        </is>
      </c>
      <c r="E19" s="12" t="n">
        <v>1550</v>
      </c>
      <c r="F19" s="12" t="n">
        <v>960</v>
      </c>
      <c r="G19" s="12">
        <f>T_Sales12[[#This Row],[銷售金額]]-T_Sales12[[#This Row],[成本]]</f>
        <v/>
      </c>
    </row>
    <row r="20">
      <c r="A20" s="6" t="inlineStr">
        <is>
          <t>S-0019</t>
        </is>
      </c>
      <c r="B20" s="11" t="n">
        <v>46049</v>
      </c>
      <c r="C20" s="6" t="inlineStr">
        <is>
          <t>門市</t>
        </is>
      </c>
      <c r="D20" s="6" t="inlineStr">
        <is>
          <t>配件</t>
        </is>
      </c>
      <c r="E20" s="12" t="n">
        <v>4580</v>
      </c>
      <c r="F20" s="12" t="n">
        <v>3010</v>
      </c>
      <c r="G20" s="12">
        <f>T_Sales12[[#This Row],[銷售金額]]-T_Sales12[[#This Row],[成本]]</f>
        <v/>
      </c>
    </row>
    <row r="21">
      <c r="A21" s="6" t="inlineStr">
        <is>
          <t>S-0020</t>
        </is>
      </c>
      <c r="B21" s="11" t="n">
        <v>46050</v>
      </c>
      <c r="C21" s="6" t="inlineStr">
        <is>
          <t>門市</t>
        </is>
      </c>
      <c r="D21" s="6" t="inlineStr">
        <is>
          <t>配件</t>
        </is>
      </c>
      <c r="E21" s="12" t="n">
        <v>9300</v>
      </c>
      <c r="F21" s="12" t="n">
        <v>4880</v>
      </c>
      <c r="G21" s="12">
        <f>T_Sales12[[#This Row],[銷售金額]]-T_Sales12[[#This Row],[成本]]</f>
        <v/>
      </c>
    </row>
    <row r="22">
      <c r="A22" s="6" t="inlineStr">
        <is>
          <t>S-0021</t>
        </is>
      </c>
      <c r="B22" s="11" t="n">
        <v>46054</v>
      </c>
      <c r="C22" s="6" t="inlineStr">
        <is>
          <t>門市</t>
        </is>
      </c>
      <c r="D22" s="6" t="inlineStr">
        <is>
          <t>配件</t>
        </is>
      </c>
      <c r="E22" s="12" t="n">
        <v>14490</v>
      </c>
      <c r="F22" s="12" t="n">
        <v>7610</v>
      </c>
      <c r="G22" s="12">
        <f>T_Sales12[[#This Row],[銷售金額]]-T_Sales12[[#This Row],[成本]]</f>
        <v/>
      </c>
    </row>
    <row r="23">
      <c r="A23" s="6" t="inlineStr">
        <is>
          <t>S-0022</t>
        </is>
      </c>
      <c r="B23" s="11" t="n">
        <v>46056</v>
      </c>
      <c r="C23" s="6" t="inlineStr">
        <is>
          <t>門市</t>
        </is>
      </c>
      <c r="D23" s="6" t="inlineStr">
        <is>
          <t>配件</t>
        </is>
      </c>
      <c r="E23" s="12" t="n">
        <v>8780</v>
      </c>
      <c r="F23" s="12" t="n">
        <v>5540</v>
      </c>
      <c r="G23" s="12">
        <f>T_Sales12[[#This Row],[銷售金額]]-T_Sales12[[#This Row],[成本]]</f>
        <v/>
      </c>
    </row>
    <row r="24">
      <c r="A24" s="6" t="inlineStr">
        <is>
          <t>S-0023</t>
        </is>
      </c>
      <c r="B24" s="11" t="n">
        <v>46059</v>
      </c>
      <c r="C24" s="6" t="inlineStr">
        <is>
          <t>電商平台</t>
        </is>
      </c>
      <c r="D24" s="6" t="inlineStr">
        <is>
          <t>音訊</t>
        </is>
      </c>
      <c r="E24" s="12" t="n">
        <v>10010</v>
      </c>
      <c r="F24" s="12" t="n">
        <v>5570</v>
      </c>
      <c r="G24" s="12">
        <f>T_Sales12[[#This Row],[銷售金額]]-T_Sales12[[#This Row],[成本]]</f>
        <v/>
      </c>
    </row>
    <row r="25">
      <c r="A25" s="6" t="inlineStr">
        <is>
          <t>S-0024</t>
        </is>
      </c>
      <c r="B25" s="11" t="n">
        <v>46059</v>
      </c>
      <c r="C25" s="6" t="inlineStr">
        <is>
          <t>官網</t>
        </is>
      </c>
      <c r="D25" s="6" t="inlineStr">
        <is>
          <t>配件</t>
        </is>
      </c>
      <c r="E25" s="12" t="n">
        <v>9690</v>
      </c>
      <c r="F25" s="12" t="n">
        <v>6730</v>
      </c>
      <c r="G25" s="12">
        <f>T_Sales12[[#This Row],[銷售金額]]-T_Sales12[[#This Row],[成本]]</f>
        <v/>
      </c>
    </row>
    <row r="26">
      <c r="A26" s="6" t="inlineStr">
        <is>
          <t>S-0025</t>
        </is>
      </c>
      <c r="B26" s="11" t="n">
        <v>46062</v>
      </c>
      <c r="C26" s="6" t="inlineStr">
        <is>
          <t>電商平台</t>
        </is>
      </c>
      <c r="D26" s="6" t="inlineStr">
        <is>
          <t>配件</t>
        </is>
      </c>
      <c r="E26" s="12" t="n">
        <v>7250</v>
      </c>
      <c r="F26" s="12" t="n">
        <v>4780</v>
      </c>
      <c r="G26" s="12">
        <f>T_Sales12[[#This Row],[銷售金額]]-T_Sales12[[#This Row],[成本]]</f>
        <v/>
      </c>
    </row>
    <row r="27">
      <c r="A27" s="6" t="inlineStr">
        <is>
          <t>S-0026</t>
        </is>
      </c>
      <c r="B27" s="11" t="n">
        <v>46064</v>
      </c>
      <c r="C27" s="6" t="inlineStr">
        <is>
          <t>官網</t>
        </is>
      </c>
      <c r="D27" s="6" t="inlineStr">
        <is>
          <t>配件</t>
        </is>
      </c>
      <c r="E27" s="12" t="n">
        <v>14190</v>
      </c>
      <c r="F27" s="12" t="n">
        <v>7710</v>
      </c>
      <c r="G27" s="12">
        <f>T_Sales12[[#This Row],[銷售金額]]-T_Sales12[[#This Row],[成本]]</f>
        <v/>
      </c>
    </row>
    <row r="28">
      <c r="A28" s="6" t="inlineStr">
        <is>
          <t>S-0027</t>
        </is>
      </c>
      <c r="B28" s="11" t="n">
        <v>46065</v>
      </c>
      <c r="C28" s="6" t="inlineStr">
        <is>
          <t>電商平台</t>
        </is>
      </c>
      <c r="D28" s="6" t="inlineStr">
        <is>
          <t>配件</t>
        </is>
      </c>
      <c r="E28" s="12" t="n">
        <v>12830</v>
      </c>
      <c r="F28" s="12" t="n">
        <v>6810</v>
      </c>
      <c r="G28" s="12">
        <f>T_Sales12[[#This Row],[銷售金額]]-T_Sales12[[#This Row],[成本]]</f>
        <v/>
      </c>
    </row>
    <row r="29">
      <c r="A29" s="6" t="inlineStr">
        <is>
          <t>S-0028</t>
        </is>
      </c>
      <c r="B29" s="11" t="n">
        <v>46065</v>
      </c>
      <c r="C29" s="6" t="inlineStr">
        <is>
          <t>電商平台</t>
        </is>
      </c>
      <c r="D29" s="6" t="inlineStr">
        <is>
          <t>電腦周邊</t>
        </is>
      </c>
      <c r="E29" s="12" t="n">
        <v>11690</v>
      </c>
      <c r="F29" s="12" t="n">
        <v>6130</v>
      </c>
      <c r="G29" s="12">
        <f>T_Sales12[[#This Row],[銷售金額]]-T_Sales12[[#This Row],[成本]]</f>
        <v/>
      </c>
    </row>
    <row r="30">
      <c r="A30" s="6" t="inlineStr">
        <is>
          <t>S-0029</t>
        </is>
      </c>
      <c r="B30" s="11" t="n">
        <v>46065</v>
      </c>
      <c r="C30" s="6" t="inlineStr">
        <is>
          <t>電商平台</t>
        </is>
      </c>
      <c r="D30" s="6" t="inlineStr">
        <is>
          <t>音訊</t>
        </is>
      </c>
      <c r="E30" s="12" t="n">
        <v>5870</v>
      </c>
      <c r="F30" s="12" t="n">
        <v>4100</v>
      </c>
      <c r="G30" s="12">
        <f>T_Sales12[[#This Row],[銷售金額]]-T_Sales12[[#This Row],[成本]]</f>
        <v/>
      </c>
    </row>
    <row r="31">
      <c r="A31" s="6" t="inlineStr">
        <is>
          <t>S-0030</t>
        </is>
      </c>
      <c r="B31" s="11" t="n">
        <v>46067</v>
      </c>
      <c r="C31" s="6" t="inlineStr">
        <is>
          <t>門市</t>
        </is>
      </c>
      <c r="D31" s="6" t="inlineStr">
        <is>
          <t>配件</t>
        </is>
      </c>
      <c r="E31" s="12" t="n">
        <v>10160</v>
      </c>
      <c r="F31" s="12" t="n">
        <v>6440</v>
      </c>
      <c r="G31" s="12">
        <f>T_Sales12[[#This Row],[銷售金額]]-T_Sales12[[#This Row],[成本]]</f>
        <v/>
      </c>
    </row>
    <row r="32">
      <c r="A32" s="6" t="inlineStr">
        <is>
          <t>S-0031</t>
        </is>
      </c>
      <c r="B32" s="11" t="n">
        <v>46068</v>
      </c>
      <c r="C32" s="6" t="inlineStr">
        <is>
          <t>門市</t>
        </is>
      </c>
      <c r="D32" s="6" t="inlineStr">
        <is>
          <t>音訊</t>
        </is>
      </c>
      <c r="E32" s="12" t="n">
        <v>8040</v>
      </c>
      <c r="F32" s="12" t="n">
        <v>4630</v>
      </c>
      <c r="G32" s="12">
        <f>T_Sales12[[#This Row],[銷售金額]]-T_Sales12[[#This Row],[成本]]</f>
        <v/>
      </c>
    </row>
    <row r="33">
      <c r="A33" s="6" t="inlineStr">
        <is>
          <t>S-0032</t>
        </is>
      </c>
      <c r="B33" s="11" t="n">
        <v>46069</v>
      </c>
      <c r="C33" s="6" t="inlineStr">
        <is>
          <t>官網</t>
        </is>
      </c>
      <c r="D33" s="6" t="inlineStr">
        <is>
          <t>電腦周邊</t>
        </is>
      </c>
      <c r="E33" s="12" t="n">
        <v>14770</v>
      </c>
      <c r="F33" s="12" t="n">
        <v>10500</v>
      </c>
      <c r="G33" s="12">
        <f>T_Sales12[[#This Row],[銷售金額]]-T_Sales12[[#This Row],[成本]]</f>
        <v/>
      </c>
    </row>
    <row r="34">
      <c r="A34" s="6" t="inlineStr">
        <is>
          <t>S-0033</t>
        </is>
      </c>
      <c r="B34" s="11" t="n">
        <v>46070</v>
      </c>
      <c r="C34" s="6" t="inlineStr">
        <is>
          <t>門市</t>
        </is>
      </c>
      <c r="D34" s="6" t="inlineStr">
        <is>
          <t>配件</t>
        </is>
      </c>
      <c r="E34" s="12" t="n">
        <v>1310</v>
      </c>
      <c r="F34" s="12" t="n">
        <v>710</v>
      </c>
      <c r="G34" s="12">
        <f>T_Sales12[[#This Row],[銷售金額]]-T_Sales12[[#This Row],[成本]]</f>
        <v/>
      </c>
    </row>
    <row r="35">
      <c r="A35" s="6" t="inlineStr">
        <is>
          <t>S-0034</t>
        </is>
      </c>
      <c r="B35" s="11" t="n">
        <v>46071</v>
      </c>
      <c r="C35" s="6" t="inlineStr">
        <is>
          <t>官網</t>
        </is>
      </c>
      <c r="D35" s="6" t="inlineStr">
        <is>
          <t>電腦周邊</t>
        </is>
      </c>
      <c r="E35" s="12" t="n">
        <v>5940</v>
      </c>
      <c r="F35" s="12" t="n">
        <v>3380</v>
      </c>
      <c r="G35" s="12">
        <f>T_Sales12[[#This Row],[銷售金額]]-T_Sales12[[#This Row],[成本]]</f>
        <v/>
      </c>
    </row>
    <row r="36">
      <c r="A36" s="6" t="inlineStr">
        <is>
          <t>S-0035</t>
        </is>
      </c>
      <c r="B36" s="11" t="n">
        <v>46076</v>
      </c>
      <c r="C36" s="6" t="inlineStr">
        <is>
          <t>門市</t>
        </is>
      </c>
      <c r="D36" s="6" t="inlineStr">
        <is>
          <t>音訊</t>
        </is>
      </c>
      <c r="E36" s="12" t="n">
        <v>6100</v>
      </c>
      <c r="F36" s="12" t="n">
        <v>3510</v>
      </c>
      <c r="G36" s="12">
        <f>T_Sales12[[#This Row],[銷售金額]]-T_Sales12[[#This Row],[成本]]</f>
        <v/>
      </c>
    </row>
    <row r="37">
      <c r="A37" s="6" t="inlineStr">
        <is>
          <t>S-0036</t>
        </is>
      </c>
      <c r="B37" s="11" t="n">
        <v>46076</v>
      </c>
      <c r="C37" s="6" t="inlineStr">
        <is>
          <t>電商平台</t>
        </is>
      </c>
      <c r="D37" s="6" t="inlineStr">
        <is>
          <t>音訊</t>
        </is>
      </c>
      <c r="E37" s="12" t="n">
        <v>4880</v>
      </c>
      <c r="F37" s="12" t="n">
        <v>3050</v>
      </c>
      <c r="G37" s="12">
        <f>T_Sales12[[#This Row],[銷售金額]]-T_Sales12[[#This Row],[成本]]</f>
        <v/>
      </c>
    </row>
    <row r="38">
      <c r="A38" s="6" t="inlineStr">
        <is>
          <t>S-0037</t>
        </is>
      </c>
      <c r="B38" s="11" t="n">
        <v>46077</v>
      </c>
      <c r="C38" s="6" t="inlineStr">
        <is>
          <t>門市</t>
        </is>
      </c>
      <c r="D38" s="6" t="inlineStr">
        <is>
          <t>音訊</t>
        </is>
      </c>
      <c r="E38" s="12" t="n">
        <v>5780</v>
      </c>
      <c r="F38" s="12" t="n">
        <v>3500</v>
      </c>
      <c r="G38" s="12">
        <f>T_Sales12[[#This Row],[銷售金額]]-T_Sales12[[#This Row],[成本]]</f>
        <v/>
      </c>
    </row>
    <row r="39">
      <c r="A39" s="6" t="inlineStr">
        <is>
          <t>S-0038</t>
        </is>
      </c>
      <c r="B39" s="11" t="n">
        <v>46078</v>
      </c>
      <c r="C39" s="6" t="inlineStr">
        <is>
          <t>電商平台</t>
        </is>
      </c>
      <c r="D39" s="6" t="inlineStr">
        <is>
          <t>電腦周邊</t>
        </is>
      </c>
      <c r="E39" s="12" t="n">
        <v>5000</v>
      </c>
      <c r="F39" s="12" t="n">
        <v>3550</v>
      </c>
      <c r="G39" s="12">
        <f>T_Sales12[[#This Row],[銷售金額]]-T_Sales12[[#This Row],[成本]]</f>
        <v/>
      </c>
    </row>
    <row r="40">
      <c r="A40" s="6" t="inlineStr">
        <is>
          <t>S-0039</t>
        </is>
      </c>
      <c r="B40" s="11" t="n">
        <v>46078</v>
      </c>
      <c r="C40" s="6" t="inlineStr">
        <is>
          <t>門市</t>
        </is>
      </c>
      <c r="D40" s="6" t="inlineStr">
        <is>
          <t>電腦周邊</t>
        </is>
      </c>
      <c r="E40" s="12" t="n">
        <v>7490</v>
      </c>
      <c r="F40" s="12" t="n">
        <v>5090</v>
      </c>
      <c r="G40" s="12">
        <f>T_Sales12[[#This Row],[銷售金額]]-T_Sales12[[#This Row],[成本]]</f>
        <v/>
      </c>
    </row>
    <row r="41">
      <c r="A41" s="6" t="inlineStr">
        <is>
          <t>S-0040</t>
        </is>
      </c>
      <c r="B41" s="11" t="n">
        <v>46079</v>
      </c>
      <c r="C41" s="6" t="inlineStr">
        <is>
          <t>電商平台</t>
        </is>
      </c>
      <c r="D41" s="6" t="inlineStr">
        <is>
          <t>音訊</t>
        </is>
      </c>
      <c r="E41" s="12" t="n">
        <v>11290</v>
      </c>
      <c r="F41" s="12" t="n">
        <v>6980</v>
      </c>
      <c r="G41" s="12">
        <f>T_Sales12[[#This Row],[銷售金額]]-T_Sales12[[#This Row],[成本]]</f>
        <v/>
      </c>
    </row>
    <row r="42">
      <c r="A42" s="6" t="inlineStr">
        <is>
          <t>S-0041</t>
        </is>
      </c>
      <c r="B42" s="11" t="n">
        <v>46082</v>
      </c>
      <c r="C42" s="6" t="inlineStr">
        <is>
          <t>電商平台</t>
        </is>
      </c>
      <c r="D42" s="6" t="inlineStr">
        <is>
          <t>電腦周邊</t>
        </is>
      </c>
      <c r="E42" s="12" t="n">
        <v>14600</v>
      </c>
      <c r="F42" s="12" t="n">
        <v>10230</v>
      </c>
      <c r="G42" s="12">
        <f>T_Sales12[[#This Row],[銷售金額]]-T_Sales12[[#This Row],[成本]]</f>
        <v/>
      </c>
    </row>
    <row r="43">
      <c r="A43" s="6" t="inlineStr">
        <is>
          <t>S-0042</t>
        </is>
      </c>
      <c r="B43" s="11" t="n">
        <v>46083</v>
      </c>
      <c r="C43" s="6" t="inlineStr">
        <is>
          <t>官網</t>
        </is>
      </c>
      <c r="D43" s="6" t="inlineStr">
        <is>
          <t>配件</t>
        </is>
      </c>
      <c r="E43" s="12" t="n">
        <v>5150</v>
      </c>
      <c r="F43" s="12" t="n">
        <v>3400</v>
      </c>
      <c r="G43" s="12">
        <f>T_Sales12[[#This Row],[銷售金額]]-T_Sales12[[#This Row],[成本]]</f>
        <v/>
      </c>
    </row>
    <row r="44">
      <c r="A44" s="6" t="inlineStr">
        <is>
          <t>S-0043</t>
        </is>
      </c>
      <c r="B44" s="11" t="n">
        <v>46085</v>
      </c>
      <c r="C44" s="6" t="inlineStr">
        <is>
          <t>門市</t>
        </is>
      </c>
      <c r="D44" s="6" t="inlineStr">
        <is>
          <t>音訊</t>
        </is>
      </c>
      <c r="E44" s="12" t="n">
        <v>5090</v>
      </c>
      <c r="F44" s="12" t="n">
        <v>3020</v>
      </c>
      <c r="G44" s="12">
        <f>T_Sales12[[#This Row],[銷售金額]]-T_Sales12[[#This Row],[成本]]</f>
        <v/>
      </c>
    </row>
    <row r="45">
      <c r="A45" s="6" t="inlineStr">
        <is>
          <t>S-0044</t>
        </is>
      </c>
      <c r="B45" s="11" t="n">
        <v>46086</v>
      </c>
      <c r="C45" s="6" t="inlineStr">
        <is>
          <t>門市</t>
        </is>
      </c>
      <c r="D45" s="6" t="inlineStr">
        <is>
          <t>配件</t>
        </is>
      </c>
      <c r="E45" s="12" t="n">
        <v>14560</v>
      </c>
      <c r="F45" s="12" t="n">
        <v>8480</v>
      </c>
      <c r="G45" s="12">
        <f>T_Sales12[[#This Row],[銷售金額]]-T_Sales12[[#This Row],[成本]]</f>
        <v/>
      </c>
    </row>
    <row r="46">
      <c r="A46" s="6" t="inlineStr">
        <is>
          <t>S-0045</t>
        </is>
      </c>
      <c r="B46" s="11" t="n">
        <v>46091</v>
      </c>
      <c r="C46" s="6" t="inlineStr">
        <is>
          <t>電商平台</t>
        </is>
      </c>
      <c r="D46" s="6" t="inlineStr">
        <is>
          <t>配件</t>
        </is>
      </c>
      <c r="E46" s="12" t="n">
        <v>6040</v>
      </c>
      <c r="F46" s="12" t="n">
        <v>3800</v>
      </c>
      <c r="G46" s="12">
        <f>T_Sales12[[#This Row],[銷售金額]]-T_Sales12[[#This Row],[成本]]</f>
        <v/>
      </c>
    </row>
    <row r="47">
      <c r="A47" s="6" t="inlineStr">
        <is>
          <t>S-0046</t>
        </is>
      </c>
      <c r="B47" s="11" t="n">
        <v>46093</v>
      </c>
      <c r="C47" s="6" t="inlineStr">
        <is>
          <t>電商平台</t>
        </is>
      </c>
      <c r="D47" s="6" t="inlineStr">
        <is>
          <t>音訊</t>
        </is>
      </c>
      <c r="E47" s="12" t="n">
        <v>13560</v>
      </c>
      <c r="F47" s="12" t="n">
        <v>8580</v>
      </c>
      <c r="G47" s="12">
        <f>T_Sales12[[#This Row],[銷售金額]]-T_Sales12[[#This Row],[成本]]</f>
        <v/>
      </c>
    </row>
    <row r="48">
      <c r="A48" s="6" t="inlineStr">
        <is>
          <t>S-0047</t>
        </is>
      </c>
      <c r="B48" s="11" t="n">
        <v>46095</v>
      </c>
      <c r="C48" s="6" t="inlineStr">
        <is>
          <t>官網</t>
        </is>
      </c>
      <c r="D48" s="6" t="inlineStr">
        <is>
          <t>電腦周邊</t>
        </is>
      </c>
      <c r="E48" s="12" t="n">
        <v>7780</v>
      </c>
      <c r="F48" s="12" t="n">
        <v>5110</v>
      </c>
      <c r="G48" s="12">
        <f>T_Sales12[[#This Row],[銷售金額]]-T_Sales12[[#This Row],[成本]]</f>
        <v/>
      </c>
    </row>
    <row r="49">
      <c r="A49" s="6" t="inlineStr">
        <is>
          <t>S-0048</t>
        </is>
      </c>
      <c r="B49" s="11" t="n">
        <v>46095</v>
      </c>
      <c r="C49" s="6" t="inlineStr">
        <is>
          <t>門市</t>
        </is>
      </c>
      <c r="D49" s="6" t="inlineStr">
        <is>
          <t>電腦周邊</t>
        </is>
      </c>
      <c r="E49" s="12" t="n">
        <v>7980</v>
      </c>
      <c r="F49" s="12" t="n">
        <v>4480</v>
      </c>
      <c r="G49" s="12">
        <f>T_Sales12[[#This Row],[銷售金額]]-T_Sales12[[#This Row],[成本]]</f>
        <v/>
      </c>
    </row>
    <row r="50">
      <c r="A50" s="6" t="inlineStr">
        <is>
          <t>S-0049</t>
        </is>
      </c>
      <c r="B50" s="11" t="n">
        <v>46098</v>
      </c>
      <c r="C50" s="6" t="inlineStr">
        <is>
          <t>電商平台</t>
        </is>
      </c>
      <c r="D50" s="6" t="inlineStr">
        <is>
          <t>配件</t>
        </is>
      </c>
      <c r="E50" s="12" t="n">
        <v>3500</v>
      </c>
      <c r="F50" s="12" t="n">
        <v>2050</v>
      </c>
      <c r="G50" s="12">
        <f>T_Sales12[[#This Row],[銷售金額]]-T_Sales12[[#This Row],[成本]]</f>
        <v/>
      </c>
    </row>
    <row r="51">
      <c r="A51" s="6" t="inlineStr">
        <is>
          <t>S-0050</t>
        </is>
      </c>
      <c r="B51" s="11" t="n">
        <v>46098</v>
      </c>
      <c r="C51" s="6" t="inlineStr">
        <is>
          <t>官網</t>
        </is>
      </c>
      <c r="D51" s="6" t="inlineStr">
        <is>
          <t>配件</t>
        </is>
      </c>
      <c r="E51" s="12" t="n">
        <v>10010</v>
      </c>
      <c r="F51" s="12" t="n">
        <v>6210</v>
      </c>
      <c r="G51" s="12">
        <f>T_Sales12[[#This Row],[銷售金額]]-T_Sales12[[#This Row],[成本]]</f>
        <v/>
      </c>
    </row>
    <row r="52">
      <c r="A52" s="6" t="inlineStr">
        <is>
          <t>S-0051</t>
        </is>
      </c>
      <c r="B52" s="11" t="n">
        <v>46101</v>
      </c>
      <c r="C52" s="6" t="inlineStr">
        <is>
          <t>門市</t>
        </is>
      </c>
      <c r="D52" s="6" t="inlineStr">
        <is>
          <t>電腦周邊</t>
        </is>
      </c>
      <c r="E52" s="12" t="n">
        <v>13010</v>
      </c>
      <c r="F52" s="12" t="n">
        <v>8160</v>
      </c>
      <c r="G52" s="12">
        <f>T_Sales12[[#This Row],[銷售金額]]-T_Sales12[[#This Row],[成本]]</f>
        <v/>
      </c>
    </row>
    <row r="53">
      <c r="A53" s="6" t="inlineStr">
        <is>
          <t>S-0052</t>
        </is>
      </c>
      <c r="B53" s="11" t="n">
        <v>46101</v>
      </c>
      <c r="C53" s="6" t="inlineStr">
        <is>
          <t>官網</t>
        </is>
      </c>
      <c r="D53" s="6" t="inlineStr">
        <is>
          <t>電腦周邊</t>
        </is>
      </c>
      <c r="E53" s="12" t="n">
        <v>9580</v>
      </c>
      <c r="F53" s="12" t="n">
        <v>5090</v>
      </c>
      <c r="G53" s="12">
        <f>T_Sales12[[#This Row],[銷售金額]]-T_Sales12[[#This Row],[成本]]</f>
        <v/>
      </c>
    </row>
    <row r="54">
      <c r="A54" s="6" t="inlineStr">
        <is>
          <t>S-0053</t>
        </is>
      </c>
      <c r="B54" s="11" t="n">
        <v>46101</v>
      </c>
      <c r="C54" s="6" t="inlineStr">
        <is>
          <t>官網</t>
        </is>
      </c>
      <c r="D54" s="6" t="inlineStr">
        <is>
          <t>電腦周邊</t>
        </is>
      </c>
      <c r="E54" s="12" t="n">
        <v>7480</v>
      </c>
      <c r="F54" s="12" t="n">
        <v>5210</v>
      </c>
      <c r="G54" s="12">
        <f>T_Sales12[[#This Row],[銷售金額]]-T_Sales12[[#This Row],[成本]]</f>
        <v/>
      </c>
    </row>
    <row r="55">
      <c r="A55" s="6" t="inlineStr">
        <is>
          <t>S-0054</t>
        </is>
      </c>
      <c r="B55" s="11" t="n">
        <v>46104</v>
      </c>
      <c r="C55" s="6" t="inlineStr">
        <is>
          <t>官網</t>
        </is>
      </c>
      <c r="D55" s="6" t="inlineStr">
        <is>
          <t>配件</t>
        </is>
      </c>
      <c r="E55" s="12" t="n">
        <v>14400</v>
      </c>
      <c r="F55" s="12" t="n">
        <v>8200</v>
      </c>
      <c r="G55" s="12">
        <f>T_Sales12[[#This Row],[銷售金額]]-T_Sales12[[#This Row],[成本]]</f>
        <v/>
      </c>
    </row>
    <row r="56">
      <c r="A56" s="6" t="inlineStr">
        <is>
          <t>S-0055</t>
        </is>
      </c>
      <c r="B56" s="11" t="n">
        <v>46104</v>
      </c>
      <c r="C56" s="6" t="inlineStr">
        <is>
          <t>電商平台</t>
        </is>
      </c>
      <c r="D56" s="6" t="inlineStr">
        <is>
          <t>配件</t>
        </is>
      </c>
      <c r="E56" s="12" t="n">
        <v>4180</v>
      </c>
      <c r="F56" s="12" t="n">
        <v>2710</v>
      </c>
      <c r="G56" s="12">
        <f>T_Sales12[[#This Row],[銷售金額]]-T_Sales12[[#This Row],[成本]]</f>
        <v/>
      </c>
    </row>
    <row r="57">
      <c r="A57" s="6" t="inlineStr">
        <is>
          <t>S-0056</t>
        </is>
      </c>
      <c r="B57" s="11" t="n">
        <v>46104</v>
      </c>
      <c r="C57" s="6" t="inlineStr">
        <is>
          <t>官網</t>
        </is>
      </c>
      <c r="D57" s="6" t="inlineStr">
        <is>
          <t>音訊</t>
        </is>
      </c>
      <c r="E57" s="12" t="n">
        <v>5610</v>
      </c>
      <c r="F57" s="12" t="n">
        <v>3800</v>
      </c>
      <c r="G57" s="12">
        <f>T_Sales12[[#This Row],[銷售金額]]-T_Sales12[[#This Row],[成本]]</f>
        <v/>
      </c>
    </row>
    <row r="58">
      <c r="A58" s="6" t="inlineStr">
        <is>
          <t>S-0057</t>
        </is>
      </c>
      <c r="B58" s="11" t="n">
        <v>46107</v>
      </c>
      <c r="C58" s="6" t="inlineStr">
        <is>
          <t>門市</t>
        </is>
      </c>
      <c r="D58" s="6" t="inlineStr">
        <is>
          <t>音訊</t>
        </is>
      </c>
      <c r="E58" s="12" t="n">
        <v>1270</v>
      </c>
      <c r="F58" s="12" t="n">
        <v>800</v>
      </c>
      <c r="G58" s="12">
        <f>T_Sales12[[#This Row],[銷售金額]]-T_Sales12[[#This Row],[成本]]</f>
        <v/>
      </c>
    </row>
    <row r="59">
      <c r="A59" s="6" t="inlineStr">
        <is>
          <t>S-0058</t>
        </is>
      </c>
      <c r="B59" s="11" t="n">
        <v>46107</v>
      </c>
      <c r="C59" s="6" t="inlineStr">
        <is>
          <t>門市</t>
        </is>
      </c>
      <c r="D59" s="6" t="inlineStr">
        <is>
          <t>配件</t>
        </is>
      </c>
      <c r="E59" s="12" t="n">
        <v>8270</v>
      </c>
      <c r="F59" s="12" t="n">
        <v>4880</v>
      </c>
      <c r="G59" s="12">
        <f>T_Sales12[[#This Row],[銷售金額]]-T_Sales12[[#This Row],[成本]]</f>
        <v/>
      </c>
    </row>
    <row r="60">
      <c r="A60" s="6" t="inlineStr">
        <is>
          <t>S-0059</t>
        </is>
      </c>
      <c r="B60" s="11" t="n">
        <v>46107</v>
      </c>
      <c r="C60" s="6" t="inlineStr">
        <is>
          <t>電商平台</t>
        </is>
      </c>
      <c r="D60" s="6" t="inlineStr">
        <is>
          <t>配件</t>
        </is>
      </c>
      <c r="E60" s="12" t="n">
        <v>8590</v>
      </c>
      <c r="F60" s="12" t="n">
        <v>5220</v>
      </c>
      <c r="G60" s="12">
        <f>T_Sales12[[#This Row],[銷售金額]]-T_Sales12[[#This Row],[成本]]</f>
        <v/>
      </c>
    </row>
    <row r="61">
      <c r="A61" s="6" t="inlineStr">
        <is>
          <t>S-0060</t>
        </is>
      </c>
      <c r="B61" s="11" t="n">
        <v>46109</v>
      </c>
      <c r="C61" s="6" t="inlineStr">
        <is>
          <t>電商平台</t>
        </is>
      </c>
      <c r="D61" s="6" t="inlineStr">
        <is>
          <t>音訊</t>
        </is>
      </c>
      <c r="E61" s="12" t="n">
        <v>4620</v>
      </c>
      <c r="F61" s="12" t="n">
        <v>2680</v>
      </c>
      <c r="G61" s="12">
        <f>T_Sales12[[#This Row],[銷售金額]]-T_Sales12[[#This Row],[成本]]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