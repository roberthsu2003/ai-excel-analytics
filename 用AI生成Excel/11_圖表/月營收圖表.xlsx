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營收" sheetId="1" state="visible" r:id="rId1"/>
    <sheet name="季彙總" sheetId="2" state="visible" r:id="rId2"/>
    <sheet name="圖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5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</font>
    <font>
      <name val="Microsoft JhengHei"/>
      <b val="1"/>
    </font>
    <font>
      <name val="Microsoft JhengHei"/>
      <b val="1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2025 每月合計營收（趨勢）</a:t>
            </a:r>
          </a:p>
        </rich>
      </tx>
    </title>
    <plotArea>
      <lineChart>
        <grouping val="standard"/>
        <ser>
          <idx val="0"/>
          <order val="0"/>
          <tx>
            <strRef>
              <f>'月營收'!D1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'月營收'!$A$2:$A$13</f>
            </numRef>
          </cat>
          <val>
            <numRef>
              <f>'月營收'!$D$2:$D$13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月份</a:t>
                </a:r>
              </a:p>
            </rich>
          </tx>
        </title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營收（元）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各季門市與線上營收（比較）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'季彙總'!B1</f>
            </strRef>
          </tx>
          <spPr>
            <a:ln>
              <a:prstDash val="solid"/>
            </a:ln>
          </spPr>
          <cat>
            <numRef>
              <f>'季彙總'!$A$2:$A$5</f>
            </numRef>
          </cat>
          <val>
            <numRef>
              <f>'季彙總'!$B$2:$B$5</f>
            </numRef>
          </val>
        </ser>
        <ser>
          <idx val="1"/>
          <order val="1"/>
          <tx>
            <strRef>
              <f>'季彙總'!C1</f>
            </strRef>
          </tx>
          <spPr>
            <a:ln>
              <a:prstDash val="solid"/>
            </a:ln>
          </spPr>
          <cat>
            <numRef>
              <f>'季彙總'!$A$2:$A$5</f>
            </numRef>
          </cat>
          <val>
            <numRef>
              <f>'季彙總'!$C$2:$C$5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季別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營收（元）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全年營收：門市 vs. 線上（組成）</a:t>
            </a:r>
          </a:p>
        </rich>
      </tx>
    </title>
    <plotArea>
      <pieChart>
        <varyColors val="1"/>
        <ser>
          <idx val="0"/>
          <order val="0"/>
          <tx>
            <strRef>
              <f>'季彙總'!B8</f>
            </strRef>
          </tx>
          <spPr>
            <a:ln>
              <a:prstDash val="solid"/>
            </a:ln>
          </spPr>
          <cat>
            <numRef>
              <f>'季彙總'!$A$9:$A$10</f>
            </numRef>
          </cat>
          <val>
            <numRef>
              <f>'季彙總'!$B$9:$B$10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36</row>
      <rowOff>0</rowOff>
    </from>
    <ext cx="43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月份</t>
        </is>
      </c>
      <c r="B1" s="1" t="inlineStr">
        <is>
          <t>門市營收</t>
        </is>
      </c>
      <c r="C1" s="1" t="inlineStr">
        <is>
          <t>線上營收</t>
        </is>
      </c>
      <c r="D1" s="1" t="inlineStr">
        <is>
          <t>合計營收</t>
        </is>
      </c>
    </row>
    <row r="2">
      <c r="A2" s="2" t="n">
        <v>45658</v>
      </c>
      <c r="B2" s="3" t="n">
        <v>820000</v>
      </c>
      <c r="C2" s="3" t="n">
        <v>310000</v>
      </c>
      <c r="D2" s="3">
        <f>B2+C2</f>
        <v/>
      </c>
    </row>
    <row r="3">
      <c r="A3" s="2" t="n">
        <v>45689</v>
      </c>
      <c r="B3" s="3" t="n">
        <v>760000</v>
      </c>
      <c r="C3" s="3" t="n">
        <v>290000</v>
      </c>
      <c r="D3" s="3">
        <f>B3+C3</f>
        <v/>
      </c>
    </row>
    <row r="4">
      <c r="A4" s="2" t="n">
        <v>45717</v>
      </c>
      <c r="B4" s="3" t="n">
        <v>880000</v>
      </c>
      <c r="C4" s="3" t="n">
        <v>350000</v>
      </c>
      <c r="D4" s="3">
        <f>B4+C4</f>
        <v/>
      </c>
    </row>
    <row r="5">
      <c r="A5" s="2" t="n">
        <v>45748</v>
      </c>
      <c r="B5" s="3" t="n">
        <v>840000</v>
      </c>
      <c r="C5" s="3" t="n">
        <v>380000</v>
      </c>
      <c r="D5" s="3">
        <f>B5+C5</f>
        <v/>
      </c>
    </row>
    <row r="6">
      <c r="A6" s="2" t="n">
        <v>45778</v>
      </c>
      <c r="B6" s="3" t="n">
        <v>900000</v>
      </c>
      <c r="C6" s="3" t="n">
        <v>420000</v>
      </c>
      <c r="D6" s="3">
        <f>B6+C6</f>
        <v/>
      </c>
    </row>
    <row r="7">
      <c r="A7" s="2" t="n">
        <v>45809</v>
      </c>
      <c r="B7" s="3" t="n">
        <v>870000</v>
      </c>
      <c r="C7" s="3" t="n">
        <v>460000</v>
      </c>
      <c r="D7" s="3">
        <f>B7+C7</f>
        <v/>
      </c>
    </row>
    <row r="8">
      <c r="A8" s="2" t="n">
        <v>45839</v>
      </c>
      <c r="B8" s="3" t="n">
        <v>910000</v>
      </c>
      <c r="C8" s="3" t="n">
        <v>500000</v>
      </c>
      <c r="D8" s="3">
        <f>B8+C8</f>
        <v/>
      </c>
    </row>
    <row r="9">
      <c r="A9" s="2" t="n">
        <v>45870</v>
      </c>
      <c r="B9" s="3" t="n">
        <v>890000</v>
      </c>
      <c r="C9" s="3" t="n">
        <v>530000</v>
      </c>
      <c r="D9" s="3">
        <f>B9+C9</f>
        <v/>
      </c>
    </row>
    <row r="10">
      <c r="A10" s="2" t="n">
        <v>45901</v>
      </c>
      <c r="B10" s="3" t="n">
        <v>860000</v>
      </c>
      <c r="C10" s="3" t="n">
        <v>560000</v>
      </c>
      <c r="D10" s="3">
        <f>B10+C10</f>
        <v/>
      </c>
    </row>
    <row r="11">
      <c r="A11" s="2" t="n">
        <v>45931</v>
      </c>
      <c r="B11" s="3" t="n">
        <v>930000</v>
      </c>
      <c r="C11" s="3" t="n">
        <v>600000</v>
      </c>
      <c r="D11" s="3">
        <f>B11+C11</f>
        <v/>
      </c>
    </row>
    <row r="12">
      <c r="A12" s="2" t="n">
        <v>45962</v>
      </c>
      <c r="B12" s="3" t="n">
        <v>1050000</v>
      </c>
      <c r="C12" s="3" t="n">
        <v>720000</v>
      </c>
      <c r="D12" s="3">
        <f>B12+C12</f>
        <v/>
      </c>
    </row>
    <row r="13">
      <c r="A13" s="2" t="n">
        <v>45992</v>
      </c>
      <c r="B13" s="3" t="n">
        <v>1120000</v>
      </c>
      <c r="C13" s="3" t="n">
        <v>810000</v>
      </c>
      <c r="D13" s="3">
        <f>B13+C13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季別</t>
        </is>
      </c>
      <c r="B1" s="1" t="inlineStr">
        <is>
          <t>門市營收</t>
        </is>
      </c>
      <c r="C1" s="1" t="inlineStr">
        <is>
          <t>線上營收</t>
        </is>
      </c>
      <c r="D1" s="1" t="inlineStr">
        <is>
          <t>合計營收</t>
        </is>
      </c>
    </row>
    <row r="2">
      <c r="A2" s="4" t="inlineStr">
        <is>
          <t>Q1</t>
        </is>
      </c>
      <c r="B2" s="5">
        <f>SUM('月營收'!B2:B4)</f>
        <v/>
      </c>
      <c r="C2" s="5">
        <f>SUM('月營收'!C2:C4)</f>
        <v/>
      </c>
      <c r="D2" s="5">
        <f>B2+C2</f>
        <v/>
      </c>
    </row>
    <row r="3">
      <c r="A3" s="4" t="inlineStr">
        <is>
          <t>Q2</t>
        </is>
      </c>
      <c r="B3" s="5">
        <f>SUM('月營收'!B5:B7)</f>
        <v/>
      </c>
      <c r="C3" s="5">
        <f>SUM('月營收'!C5:C7)</f>
        <v/>
      </c>
      <c r="D3" s="5">
        <f>B3+C3</f>
        <v/>
      </c>
    </row>
    <row r="4">
      <c r="A4" s="4" t="inlineStr">
        <is>
          <t>Q3</t>
        </is>
      </c>
      <c r="B4" s="5">
        <f>SUM('月營收'!B8:B10)</f>
        <v/>
      </c>
      <c r="C4" s="5">
        <f>SUM('月營收'!C8:C10)</f>
        <v/>
      </c>
      <c r="D4" s="5">
        <f>B4+C4</f>
        <v/>
      </c>
    </row>
    <row r="5">
      <c r="A5" s="4" t="inlineStr">
        <is>
          <t>Q4</t>
        </is>
      </c>
      <c r="B5" s="5">
        <f>SUM('月營收'!B11:B13)</f>
        <v/>
      </c>
      <c r="C5" s="5">
        <f>SUM('月營收'!C11:C13)</f>
        <v/>
      </c>
      <c r="D5" s="5">
        <f>B5+C5</f>
        <v/>
      </c>
    </row>
    <row r="8">
      <c r="A8" s="1" t="inlineStr">
        <is>
          <t>通路</t>
        </is>
      </c>
      <c r="B8" s="1" t="inlineStr">
        <is>
          <t>全年營收</t>
        </is>
      </c>
    </row>
    <row r="9">
      <c r="A9" s="4" t="inlineStr">
        <is>
          <t>門市</t>
        </is>
      </c>
      <c r="B9" s="5">
        <f>SUM(B2:B5)</f>
        <v/>
      </c>
    </row>
    <row r="10">
      <c r="A10" s="4" t="inlineStr">
        <is>
          <t>線上</t>
        </is>
      </c>
      <c r="B10" s="5">
        <f>SUM(C2:C5)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三種問題，三種圖：趨勢 → 折線圖、比較 → 長條圖、組成 → 圓餅圖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2026-10-24T07:41:57Z</dcterms:created>
  <dcterms:modified xsi:type="dcterms:W3CDTF">2026-10-24T07:41:57Z</dcterms:modified>
</cp:coreProperties>
</file>